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mc:AlternateContent xmlns:mc="http://schemas.openxmlformats.org/markup-compatibility/2006">
    <mc:Choice Requires="x15">
      <x15ac:absPath xmlns:x15ac="http://schemas.microsoft.com/office/spreadsheetml/2010/11/ac" url="/Users/zara/Library/Mobile Documents/com~apple~CloudDocs/school/past semesters/Fall 2025/LIS 4317 Visual Analytics/"/>
    </mc:Choice>
  </mc:AlternateContent>
  <xr:revisionPtr revIDLastSave="0" documentId="13_ncr:1_{B9C23A29-D4FD-FB4D-91C6-1FC1E0D05086}" xr6:coauthVersionLast="47" xr6:coauthVersionMax="47" xr10:uidLastSave="{00000000-0000-0000-0000-000000000000}"/>
  <bookViews>
    <workbookView xWindow="10020" yWindow="760" windowWidth="19000" windowHeight="18880" activeTab="3" xr2:uid="{9D50B029-F1D9-5E4F-8377-14D2876A0209}"/>
  </bookViews>
  <sheets>
    <sheet name="PortfolioSummary" sheetId="4" r:id="rId1"/>
    <sheet name="Annual Data" sheetId="6" r:id="rId2"/>
    <sheet name="Tableau Annual" sheetId="7" r:id="rId3"/>
    <sheet name="Clean Data" sheetId="5" r:id="rId4"/>
  </sheets>
  <definedNames>
    <definedName name="_xlnm._FilterDatabase" localSheetId="1" hidden="1">'Annual Data'!$A$1:$F$172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F3" i="6" s="1"/>
  <c r="E4" i="6"/>
  <c r="F4" i="6" s="1"/>
  <c r="E5" i="6"/>
  <c r="F5" i="6" s="1"/>
  <c r="E6" i="6"/>
  <c r="F6" i="6" s="1"/>
  <c r="E7" i="6"/>
  <c r="F7" i="6" s="1"/>
  <c r="E8" i="6"/>
  <c r="E12" i="6"/>
  <c r="F12" i="6" s="1"/>
  <c r="E13" i="6"/>
  <c r="E16" i="6"/>
  <c r="F16" i="6" s="1"/>
  <c r="E17" i="6"/>
  <c r="F17" i="6" s="1"/>
  <c r="E18" i="6"/>
  <c r="F18" i="6" s="1"/>
  <c r="E19" i="6"/>
  <c r="F19" i="6" s="1"/>
  <c r="E20" i="6"/>
  <c r="E24" i="6"/>
  <c r="F24" i="6" s="1"/>
  <c r="E25" i="6"/>
  <c r="F25" i="6" s="1"/>
  <c r="E26" i="6"/>
  <c r="F26" i="6" s="1"/>
  <c r="E27" i="6"/>
  <c r="F27" i="6" s="1"/>
  <c r="E28" i="6"/>
  <c r="F28" i="6" s="1"/>
  <c r="E29" i="6"/>
  <c r="F29" i="6" s="1"/>
  <c r="E30" i="6"/>
  <c r="F30" i="6" s="1"/>
  <c r="E31" i="6"/>
  <c r="F31" i="6" s="1"/>
  <c r="E32" i="6"/>
  <c r="F32" i="6" s="1"/>
  <c r="E33" i="6"/>
  <c r="F33" i="6" s="1"/>
  <c r="E34" i="6"/>
  <c r="F34" i="6" s="1"/>
  <c r="E35" i="6"/>
  <c r="F35" i="6" s="1"/>
  <c r="E36" i="6"/>
  <c r="F36" i="6" s="1"/>
  <c r="E37" i="6"/>
  <c r="E40" i="6"/>
  <c r="E44" i="6"/>
  <c r="E48" i="6"/>
  <c r="F48" i="6" s="1"/>
  <c r="E49" i="6"/>
  <c r="F49" i="6" s="1"/>
  <c r="E50" i="6"/>
  <c r="F50" i="6" s="1"/>
  <c r="E51" i="6"/>
  <c r="F51" i="6" s="1"/>
  <c r="E52" i="6"/>
  <c r="F52" i="6" s="1"/>
  <c r="E53" i="6"/>
  <c r="E56" i="6"/>
  <c r="F56" i="6" s="1"/>
  <c r="E57" i="6"/>
  <c r="F57" i="6" s="1"/>
  <c r="E58" i="6"/>
  <c r="F58" i="6" s="1"/>
  <c r="E59" i="6"/>
  <c r="F59" i="6" s="1"/>
  <c r="E60" i="6"/>
  <c r="F60" i="6" s="1"/>
  <c r="E61" i="6"/>
  <c r="F61" i="6" s="1"/>
  <c r="E62" i="6"/>
  <c r="F62" i="6" s="1"/>
  <c r="E63" i="6"/>
  <c r="F63" i="6" s="1"/>
  <c r="E64" i="6"/>
  <c r="F64" i="6" s="1"/>
  <c r="E65" i="6"/>
  <c r="F65" i="6" s="1"/>
  <c r="E66" i="6"/>
  <c r="F66" i="6" s="1"/>
  <c r="E67" i="6"/>
  <c r="E69" i="6"/>
  <c r="E73" i="6"/>
  <c r="F73" i="6" s="1"/>
  <c r="E74" i="6"/>
  <c r="F74" i="6" s="1"/>
  <c r="E75" i="6"/>
  <c r="F75" i="6" s="1"/>
  <c r="E76" i="6"/>
  <c r="F76" i="6" s="1"/>
  <c r="E77" i="6"/>
  <c r="F77" i="6" s="1"/>
  <c r="E78" i="6"/>
  <c r="F78" i="6" s="1"/>
  <c r="E79" i="6"/>
  <c r="F79" i="6" s="1"/>
  <c r="E80" i="6"/>
  <c r="F80" i="6" s="1"/>
  <c r="E81" i="6"/>
  <c r="F81" i="6" s="1"/>
  <c r="E82" i="6"/>
  <c r="F82" i="6" s="1"/>
  <c r="E83" i="6"/>
  <c r="F83" i="6" s="1"/>
  <c r="E84" i="6"/>
  <c r="F84" i="6" s="1"/>
  <c r="E85" i="6"/>
  <c r="F85" i="6" s="1"/>
  <c r="E86" i="6"/>
  <c r="F86" i="6" s="1"/>
  <c r="E87" i="6"/>
  <c r="F87" i="6" s="1"/>
  <c r="E88" i="6"/>
  <c r="F88" i="6" s="1"/>
  <c r="E89" i="6"/>
  <c r="F89" i="6" s="1"/>
  <c r="E90" i="6"/>
  <c r="F90" i="6" s="1"/>
  <c r="E91" i="6"/>
  <c r="F91" i="6" s="1"/>
  <c r="E92" i="6"/>
  <c r="F92" i="6" s="1"/>
  <c r="E93" i="6"/>
  <c r="E97" i="6"/>
  <c r="F97" i="6" s="1"/>
  <c r="E98" i="6"/>
  <c r="F98" i="6" s="1"/>
  <c r="E99" i="6"/>
  <c r="E101" i="6"/>
  <c r="F101" i="6" s="1"/>
  <c r="E102" i="6"/>
  <c r="F102" i="6" s="1"/>
  <c r="E103" i="6"/>
  <c r="F103" i="6" s="1"/>
  <c r="E104" i="6"/>
  <c r="F104" i="6" s="1"/>
  <c r="E105" i="6"/>
  <c r="F105" i="6" s="1"/>
  <c r="E106" i="6"/>
  <c r="E109" i="6"/>
  <c r="F109" i="6" s="1"/>
  <c r="E110" i="6"/>
  <c r="F110" i="6" s="1"/>
  <c r="E111" i="6"/>
  <c r="E113" i="6"/>
  <c r="E116" i="6"/>
  <c r="F116" i="6" s="1"/>
  <c r="E117" i="6"/>
  <c r="F117" i="6" s="1"/>
  <c r="E118" i="6"/>
  <c r="F118" i="6" s="1"/>
  <c r="E119" i="6"/>
  <c r="F119" i="6" s="1"/>
  <c r="E120" i="6"/>
  <c r="F120" i="6" s="1"/>
  <c r="E121" i="6"/>
  <c r="F121" i="6" s="1"/>
  <c r="E122" i="6"/>
  <c r="F122" i="6" s="1"/>
  <c r="E123" i="6"/>
  <c r="F123" i="6" s="1"/>
  <c r="E124" i="6"/>
  <c r="F124" i="6" s="1"/>
  <c r="E125" i="6"/>
  <c r="F125" i="6" s="1"/>
  <c r="E126" i="6"/>
  <c r="F126" i="6" s="1"/>
  <c r="E127" i="6"/>
  <c r="E130" i="6"/>
  <c r="F130" i="6" s="1"/>
  <c r="E131" i="6"/>
  <c r="E134" i="6"/>
  <c r="F134" i="6" s="1"/>
  <c r="E135" i="6"/>
  <c r="F135" i="6" s="1"/>
  <c r="E136" i="6"/>
  <c r="E138" i="6"/>
  <c r="E142" i="6"/>
  <c r="F142" i="6" s="1"/>
  <c r="E143" i="6"/>
  <c r="E146" i="6"/>
  <c r="E150" i="6"/>
  <c r="E154" i="6"/>
  <c r="F154" i="6" s="1"/>
  <c r="E155" i="6"/>
  <c r="F155" i="6" s="1"/>
  <c r="E156" i="6"/>
  <c r="F156" i="6" s="1"/>
  <c r="E157" i="6"/>
  <c r="F157" i="6" s="1"/>
  <c r="E158" i="6"/>
  <c r="F158" i="6" s="1"/>
  <c r="E159" i="6"/>
  <c r="E162" i="6"/>
  <c r="F162" i="6" s="1"/>
  <c r="E163" i="6"/>
  <c r="E166" i="6"/>
  <c r="E170" i="6"/>
  <c r="E2" i="6"/>
  <c r="F2" i="6" s="1"/>
  <c r="E9" i="6" l="1"/>
  <c r="F8" i="6" s="1"/>
  <c r="E14" i="6"/>
  <c r="F13" i="6"/>
  <c r="E21" i="6"/>
  <c r="F20" i="6"/>
  <c r="E38" i="6"/>
  <c r="F37" i="6"/>
  <c r="E41" i="6"/>
  <c r="F40" i="6"/>
  <c r="E45" i="6"/>
  <c r="F44" i="6"/>
  <c r="E54" i="6"/>
  <c r="F53" i="6"/>
  <c r="E68" i="6"/>
  <c r="F68" i="6" s="1"/>
  <c r="F67" i="6"/>
  <c r="E70" i="6"/>
  <c r="F69" i="6"/>
  <c r="E94" i="6"/>
  <c r="F93" i="6" s="1"/>
  <c r="E100" i="6"/>
  <c r="F100" i="6" s="1"/>
  <c r="F99" i="6"/>
  <c r="E107" i="6"/>
  <c r="F106" i="6"/>
  <c r="E112" i="6"/>
  <c r="F112" i="6" s="1"/>
  <c r="F111" i="6"/>
  <c r="E114" i="6"/>
  <c r="F113" i="6"/>
  <c r="E128" i="6"/>
  <c r="F127" i="6"/>
  <c r="E132" i="6"/>
  <c r="F131" i="6" s="1"/>
  <c r="E137" i="6"/>
  <c r="F137" i="6" s="1"/>
  <c r="F136" i="6"/>
  <c r="E139" i="6"/>
  <c r="F138" i="6"/>
  <c r="E144" i="6"/>
  <c r="F143" i="6"/>
  <c r="E147" i="6"/>
  <c r="F146" i="6"/>
  <c r="E151" i="6"/>
  <c r="F150" i="6"/>
  <c r="E160" i="6"/>
  <c r="F159" i="6"/>
  <c r="E164" i="6"/>
  <c r="F163" i="6"/>
  <c r="E167" i="6"/>
  <c r="F166" i="6"/>
  <c r="E171" i="6"/>
  <c r="F170" i="6"/>
  <c r="F9" i="6" l="1"/>
  <c r="E10" i="6"/>
  <c r="E15" i="6"/>
  <c r="F21" i="6"/>
  <c r="E22" i="6"/>
  <c r="F38" i="6"/>
  <c r="E39" i="6"/>
  <c r="F39" i="6" s="1"/>
  <c r="F41" i="6"/>
  <c r="E42" i="6"/>
  <c r="F45" i="6"/>
  <c r="E46" i="6"/>
  <c r="F54" i="6"/>
  <c r="E55" i="6"/>
  <c r="F55" i="6" s="1"/>
  <c r="F70" i="6"/>
  <c r="E71" i="6"/>
  <c r="E95" i="6"/>
  <c r="F94" i="6" s="1"/>
  <c r="E108" i="6"/>
  <c r="F114" i="6"/>
  <c r="E115" i="6"/>
  <c r="F115" i="6" s="1"/>
  <c r="F128" i="6"/>
  <c r="E129" i="6"/>
  <c r="F129" i="6" s="1"/>
  <c r="E133" i="6"/>
  <c r="E140" i="6"/>
  <c r="F139" i="6" s="1"/>
  <c r="F144" i="6"/>
  <c r="E145" i="6"/>
  <c r="F145" i="6" s="1"/>
  <c r="F147" i="6"/>
  <c r="E148" i="6"/>
  <c r="F151" i="6"/>
  <c r="E152" i="6"/>
  <c r="F160" i="6"/>
  <c r="E161" i="6"/>
  <c r="F161" i="6" s="1"/>
  <c r="F164" i="6"/>
  <c r="E165" i="6"/>
  <c r="F165" i="6" s="1"/>
  <c r="F167" i="6"/>
  <c r="E168" i="6"/>
  <c r="F171" i="6"/>
  <c r="E172" i="6"/>
  <c r="F172" i="6" s="1"/>
  <c r="E11" i="6" l="1"/>
  <c r="F11" i="6" s="1"/>
  <c r="F10" i="6"/>
  <c r="F22" i="6"/>
  <c r="E23" i="6"/>
  <c r="F23" i="6" s="1"/>
  <c r="F42" i="6"/>
  <c r="E43" i="6"/>
  <c r="F43" i="6" s="1"/>
  <c r="F46" i="6"/>
  <c r="E47" i="6"/>
  <c r="F47" i="6" s="1"/>
  <c r="F71" i="6"/>
  <c r="E72" i="6"/>
  <c r="F72" i="6" s="1"/>
  <c r="E96" i="6"/>
  <c r="F96" i="6" s="1"/>
  <c r="F95" i="6"/>
  <c r="E141" i="6"/>
  <c r="F148" i="6"/>
  <c r="E149" i="6"/>
  <c r="F149" i="6" s="1"/>
  <c r="F152" i="6"/>
  <c r="E153" i="6"/>
  <c r="F153" i="6" s="1"/>
  <c r="F168" i="6"/>
  <c r="E169" i="6"/>
  <c r="F169" i="6" s="1"/>
  <c r="F15" i="6"/>
  <c r="F14" i="6"/>
  <c r="F108" i="6"/>
  <c r="F107" i="6"/>
  <c r="F133" i="6"/>
  <c r="F132" i="6"/>
  <c r="F141" i="6" l="1"/>
  <c r="F140" i="6"/>
</calcChain>
</file>

<file path=xl/sharedStrings.xml><?xml version="1.0" encoding="utf-8"?>
<sst xmlns="http://schemas.openxmlformats.org/spreadsheetml/2006/main" count="490" uniqueCount="35">
  <si>
    <t>Direct Loans</t>
  </si>
  <si>
    <t>Perkins Loans</t>
  </si>
  <si>
    <t>Federal Student Aid Portfolio Summary</t>
  </si>
  <si>
    <t>Data Source: National Student Loan Data System (NSLDS)</t>
  </si>
  <si>
    <t>Recipients     (in millions)</t>
  </si>
  <si>
    <t>Unduplicated Recipients    (in millions)</t>
  </si>
  <si>
    <t>Federal Family Education Loans (FFEL)</t>
  </si>
  <si>
    <t xml:space="preserve">Notes: </t>
  </si>
  <si>
    <r>
      <rPr>
        <vertAlign val="superscript"/>
        <sz val="11"/>
        <rFont val="Times New Roman"/>
        <family val="1"/>
      </rPr>
      <t>3</t>
    </r>
    <r>
      <rPr>
        <sz val="11"/>
        <rFont val="Times New Roman"/>
        <family val="1"/>
      </rPr>
      <t xml:space="preserve"> Recipient is the student that benefits from the federal student loan. In most cases, the recipient is the borrower, but in parent PLUS loans, the parent is the borrower and their child is the recipient.</t>
    </r>
  </si>
  <si>
    <r>
      <rPr>
        <vertAlign val="superscript"/>
        <sz val="11"/>
        <rFont val="Times New Roman"/>
        <family val="1"/>
      </rPr>
      <t xml:space="preserve">1 </t>
    </r>
    <r>
      <rPr>
        <sz val="11"/>
        <rFont val="Times New Roman"/>
        <family val="1"/>
      </rPr>
      <t>Totals may not equal the sum of Direct Loans, FFEL, and Perkins Loans due to rounding and the timing of the data runs.</t>
    </r>
  </si>
  <si>
    <t>Dollars Outstanding           (in billions)</t>
  </si>
  <si>
    <t>Dollars Outstanding            (in billions)</t>
  </si>
  <si>
    <t>Includes outstanding principal and interest balances</t>
  </si>
  <si>
    <r>
      <t>Total</t>
    </r>
    <r>
      <rPr>
        <vertAlign val="superscript"/>
        <sz val="12"/>
        <rFont val="Times New Roman"/>
        <family val="1"/>
      </rPr>
      <t>1</t>
    </r>
  </si>
  <si>
    <r>
      <t>Recipients</t>
    </r>
    <r>
      <rPr>
        <vertAlign val="superscript"/>
        <sz val="12"/>
        <rFont val="Times New Roman"/>
        <family val="1"/>
      </rPr>
      <t>3</t>
    </r>
    <r>
      <rPr>
        <sz val="12"/>
        <rFont val="Times New Roman"/>
        <family val="1"/>
      </rPr>
      <t xml:space="preserve"> </t>
    </r>
    <r>
      <rPr>
        <b/>
        <sz val="12"/>
        <rFont val="Times New Roman"/>
        <family val="1"/>
      </rPr>
      <t xml:space="preserve">    (in millions)</t>
    </r>
  </si>
  <si>
    <t>Q1</t>
  </si>
  <si>
    <t>Q2</t>
  </si>
  <si>
    <r>
      <t>Federal Fiscal Year</t>
    </r>
    <r>
      <rPr>
        <vertAlign val="superscript"/>
        <sz val="12"/>
        <rFont val="Times New Roman"/>
        <family val="1"/>
      </rPr>
      <t>2</t>
    </r>
  </si>
  <si>
    <t>Q3</t>
  </si>
  <si>
    <r>
      <rPr>
        <vertAlign val="superscript"/>
        <sz val="11"/>
        <rFont val="Times New Roman"/>
        <family val="1"/>
      </rPr>
      <t>2</t>
    </r>
    <r>
      <rPr>
        <sz val="11"/>
        <rFont val="Times New Roman"/>
        <family val="1"/>
      </rPr>
      <t xml:space="preserve"> Data is run at the end of the corresponding federal fiscal year or at the end of each quarter listed by federal fiscal year. Each federal fiscal year begins October 1 and ends September 30. Q1 ends 12/31, Q2 ends 3/31, Q3 ends 6/30, and Q4 ends 9/30.</t>
    </r>
  </si>
  <si>
    <t>Q4</t>
  </si>
  <si>
    <t>Column1</t>
  </si>
  <si>
    <t>Column2</t>
  </si>
  <si>
    <t>Column3</t>
  </si>
  <si>
    <t>Column4</t>
  </si>
  <si>
    <t>Column5</t>
  </si>
  <si>
    <t>Column6</t>
  </si>
  <si>
    <t>Year</t>
  </si>
  <si>
    <t>Dollars</t>
  </si>
  <si>
    <t>Recipients</t>
  </si>
  <si>
    <t>Loan Program</t>
  </si>
  <si>
    <t>FFEL</t>
  </si>
  <si>
    <t>Perkins</t>
  </si>
  <si>
    <t>Year Filled</t>
  </si>
  <si>
    <t>Annual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</si>
</sst>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quot;$&quot;#,##0.0"/>
    <numFmt numFmtId="166" formatCode="&quot;$&quot;#,##0.0_);[Red]\(&quot;$&quot;#,##0.0\)"/>
    <numFmt numFmtId="167" formatCode="#,##0.0"/>
  </numFmts>
  <fonts count="15" x14ac:knownFonts="1">
    <font>
      <sz val="10"/>
      <name val="Arial"/>
    </font>
    <font>
      <sz val="10"/>
      <name val="Arial"/>
      <family val="2"/>
    </font>
    <font>
      <b/>
      <sz val="12"/>
      <name val="Times New Roman"/>
      <family val="1"/>
    </font>
    <font>
      <sz val="11"/>
      <name val="Times New Roman"/>
      <family val="1"/>
    </font>
    <font>
      <sz val="12"/>
      <name val="Times New Roman"/>
      <family val="1"/>
    </font>
    <font>
      <sz val="12"/>
      <color indexed="8"/>
      <name val="Times New Roman"/>
      <family val="1"/>
    </font>
    <font>
      <b/>
      <sz val="14"/>
      <name val="Times New Roman"/>
      <family val="1"/>
    </font>
    <font>
      <vertAlign val="superscript"/>
      <sz val="11"/>
      <name val="Times New Roman"/>
      <family val="1"/>
    </font>
    <font>
      <i/>
      <sz val="12"/>
      <name val="Times New Roman"/>
      <family val="1"/>
    </font>
    <font>
      <vertAlign val="superscript"/>
      <sz val="12"/>
      <name val="Times New Roman"/>
      <family val="1"/>
    </font>
    <font>
      <b/>
      <sz val="11"/>
      <name val="Times New Roman"/>
      <family val="1"/>
    </font>
    <font>
      <sz val="12"/>
      <color theme="1"/>
      <name val="Times New Roman"/>
      <family val="1"/>
    </font>
    <font>
      <b/>
      <sz val="12"/>
      <color theme="8" tint="0.79998168889431442"/>
      <name val="Times New Roman"/>
      <family val="1"/>
    </font>
    <font>
      <b/>
      <sz val="12"/>
      <color theme="1"/>
      <name val="Times New Roman"/>
      <family val="1"/>
    </font>
    <font>
      <sz val="8"/>
      <name val="Arial"/>
      <family val="2"/>
    </font>
  </fonts>
  <fills count="7">
    <fill>
      <patternFill patternType="none"/>
    </fill>
    <fill>
      <patternFill patternType="gray125"/>
    </fill>
    <fill>
      <patternFill patternType="solid">
        <fgColor indexed="9"/>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right style="thin">
        <color indexed="64"/>
      </right>
      <top style="thin">
        <color indexed="64"/>
      </top>
      <bottom style="thin">
        <color theme="0"/>
      </bottom>
      <diagonal/>
    </border>
    <border>
      <left/>
      <right style="thin">
        <color indexed="64"/>
      </right>
      <top style="thin">
        <color theme="0"/>
      </top>
      <bottom style="thin">
        <color theme="0"/>
      </bottom>
      <diagonal/>
    </border>
    <border>
      <left/>
      <right style="thin">
        <color indexed="64"/>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06">
    <xf numFmtId="0" fontId="0" fillId="0" borderId="0" xfId="0"/>
    <xf numFmtId="0" fontId="0" fillId="0" borderId="0" xfId="0" applyAlignment="1">
      <alignment horizontal="center"/>
    </xf>
    <xf numFmtId="0" fontId="2" fillId="3" borderId="1" xfId="0" quotePrefix="1" applyFont="1" applyFill="1" applyBorder="1" applyAlignment="1">
      <alignment horizontal="center" vertical="center" wrapText="1"/>
    </xf>
    <xf numFmtId="0" fontId="2" fillId="4" borderId="1" xfId="0" quotePrefix="1" applyFont="1" applyFill="1" applyBorder="1" applyAlignment="1">
      <alignment horizontal="center" vertical="center" wrapText="1"/>
    </xf>
    <xf numFmtId="0" fontId="4" fillId="3" borderId="1" xfId="0" applyFont="1" applyFill="1" applyBorder="1" applyAlignment="1">
      <alignment horizontal="center" vertical="center"/>
    </xf>
    <xf numFmtId="0" fontId="4" fillId="4" borderId="1" xfId="2" quotePrefix="1" applyNumberFormat="1" applyFont="1" applyFill="1" applyBorder="1" applyAlignment="1">
      <alignment horizontal="center" vertical="center"/>
    </xf>
    <xf numFmtId="0" fontId="5" fillId="3" borderId="1" xfId="2" applyNumberFormat="1" applyFont="1" applyFill="1" applyBorder="1" applyAlignment="1">
      <alignment horizontal="center" vertical="center"/>
    </xf>
    <xf numFmtId="0" fontId="4" fillId="3" borderId="1" xfId="2" applyNumberFormat="1" applyFont="1" applyFill="1" applyBorder="1" applyAlignment="1">
      <alignment horizontal="center" vertical="center"/>
    </xf>
    <xf numFmtId="0" fontId="4" fillId="4" borderId="1" xfId="2" applyNumberFormat="1" applyFont="1" applyFill="1" applyBorder="1" applyAlignment="1">
      <alignment horizontal="center" vertical="center"/>
    </xf>
    <xf numFmtId="164" fontId="4" fillId="4" borderId="1" xfId="2" quotePrefix="1" applyNumberFormat="1" applyFont="1" applyFill="1" applyBorder="1" applyAlignment="1">
      <alignment horizontal="center" vertical="center"/>
    </xf>
    <xf numFmtId="164" fontId="4" fillId="3" borderId="1" xfId="0" applyNumberFormat="1" applyFont="1" applyFill="1" applyBorder="1" applyAlignment="1">
      <alignment horizontal="center" vertical="center"/>
    </xf>
    <xf numFmtId="165" fontId="4" fillId="4" borderId="1" xfId="0" applyNumberFormat="1" applyFont="1" applyFill="1" applyBorder="1" applyAlignment="1">
      <alignment horizontal="center" vertical="center"/>
    </xf>
    <xf numFmtId="165" fontId="4" fillId="3" borderId="1" xfId="2" applyNumberFormat="1" applyFont="1" applyFill="1" applyBorder="1" applyAlignment="1">
      <alignment horizontal="center" vertical="center"/>
    </xf>
    <xf numFmtId="165" fontId="4" fillId="3" borderId="1" xfId="2" quotePrefix="1" applyNumberFormat="1" applyFont="1" applyFill="1" applyBorder="1" applyAlignment="1">
      <alignment horizontal="center" vertical="center"/>
    </xf>
    <xf numFmtId="165" fontId="4" fillId="4" borderId="1" xfId="2" applyNumberFormat="1" applyFont="1" applyFill="1" applyBorder="1" applyAlignment="1">
      <alignment horizontal="center" vertical="center"/>
    </xf>
    <xf numFmtId="165" fontId="5" fillId="4" borderId="1" xfId="2" applyNumberFormat="1" applyFont="1" applyFill="1" applyBorder="1" applyAlignment="1">
      <alignment horizontal="center" vertical="center"/>
    </xf>
    <xf numFmtId="166" fontId="5" fillId="3" borderId="1" xfId="2" applyNumberFormat="1" applyFont="1" applyFill="1" applyBorder="1" applyAlignment="1">
      <alignment horizontal="center" vertical="center"/>
    </xf>
    <xf numFmtId="166" fontId="4" fillId="3" borderId="1" xfId="2" quotePrefix="1" applyNumberFormat="1" applyFont="1" applyFill="1" applyBorder="1" applyAlignment="1">
      <alignment horizontal="center" vertical="center"/>
    </xf>
    <xf numFmtId="166" fontId="4" fillId="3" borderId="1" xfId="2" applyNumberFormat="1" applyFont="1" applyFill="1" applyBorder="1" applyAlignment="1">
      <alignment horizontal="center" vertical="center"/>
    </xf>
    <xf numFmtId="164" fontId="4" fillId="3" borderId="1" xfId="2" applyNumberFormat="1" applyFont="1" applyFill="1" applyBorder="1" applyAlignment="1">
      <alignment horizontal="center" vertical="center"/>
    </xf>
    <xf numFmtId="16" fontId="2" fillId="0" borderId="2" xfId="0" applyNumberFormat="1" applyFont="1" applyBorder="1" applyAlignment="1">
      <alignment horizontal="center" vertical="center"/>
    </xf>
    <xf numFmtId="16" fontId="2" fillId="0" borderId="1" xfId="0" applyNumberFormat="1" applyFont="1" applyBorder="1" applyAlignment="1">
      <alignment horizontal="center" vertical="center"/>
    </xf>
    <xf numFmtId="164" fontId="5" fillId="3" borderId="1" xfId="2" applyNumberFormat="1" applyFont="1" applyFill="1" applyBorder="1" applyAlignment="1">
      <alignment horizontal="center" vertical="center"/>
    </xf>
    <xf numFmtId="164" fontId="0" fillId="0" borderId="0" xfId="0" applyNumberFormat="1"/>
    <xf numFmtId="165" fontId="4" fillId="3" borderId="1" xfId="1" applyNumberFormat="1" applyFont="1" applyFill="1" applyBorder="1" applyAlignment="1">
      <alignment horizontal="center" vertical="center"/>
    </xf>
    <xf numFmtId="167" fontId="4" fillId="3" borderId="1" xfId="0" applyNumberFormat="1" applyFont="1" applyFill="1" applyBorder="1" applyAlignment="1">
      <alignment horizontal="center" vertical="center"/>
    </xf>
    <xf numFmtId="165" fontId="4" fillId="0" borderId="1" xfId="1" applyNumberFormat="1" applyFont="1" applyBorder="1" applyAlignment="1">
      <alignment horizontal="center" vertical="center"/>
    </xf>
    <xf numFmtId="167" fontId="4" fillId="0" borderId="1" xfId="0" applyNumberFormat="1" applyFont="1" applyBorder="1" applyAlignment="1">
      <alignment horizontal="center" vertical="center"/>
    </xf>
    <xf numFmtId="16" fontId="2" fillId="4" borderId="3" xfId="0" applyNumberFormat="1" applyFont="1" applyFill="1" applyBorder="1" applyAlignment="1">
      <alignment horizontal="center" vertical="center"/>
    </xf>
    <xf numFmtId="166" fontId="4" fillId="3" borderId="4" xfId="2" applyNumberFormat="1" applyFont="1" applyFill="1" applyBorder="1" applyAlignment="1">
      <alignment horizontal="center" vertical="center"/>
    </xf>
    <xf numFmtId="164" fontId="5" fillId="3" borderId="4" xfId="2" applyNumberFormat="1" applyFont="1" applyFill="1" applyBorder="1" applyAlignment="1">
      <alignment horizontal="center" vertical="center"/>
    </xf>
    <xf numFmtId="165" fontId="5" fillId="4" borderId="4" xfId="2" applyNumberFormat="1" applyFont="1" applyFill="1" applyBorder="1" applyAlignment="1">
      <alignment horizontal="center" vertical="center"/>
    </xf>
    <xf numFmtId="0" fontId="4" fillId="4" borderId="4" xfId="2" applyNumberFormat="1" applyFont="1" applyFill="1" applyBorder="1" applyAlignment="1">
      <alignment horizontal="center" vertical="center"/>
    </xf>
    <xf numFmtId="165" fontId="4" fillId="3" borderId="4" xfId="2"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5" fontId="4" fillId="4" borderId="4" xfId="0" applyNumberFormat="1" applyFont="1" applyFill="1" applyBorder="1" applyAlignment="1">
      <alignment horizontal="center" vertical="center"/>
    </xf>
    <xf numFmtId="16" fontId="2" fillId="4" borderId="1" xfId="0" applyNumberFormat="1" applyFont="1" applyFill="1" applyBorder="1" applyAlignment="1">
      <alignment horizontal="center" vertical="center"/>
    </xf>
    <xf numFmtId="165" fontId="11" fillId="0" borderId="1" xfId="1" applyNumberFormat="1" applyFont="1" applyBorder="1" applyAlignment="1">
      <alignment horizontal="center" vertical="center"/>
    </xf>
    <xf numFmtId="0" fontId="2" fillId="4" borderId="3" xfId="0" quotePrefix="1" applyFont="1" applyFill="1" applyBorder="1" applyAlignment="1">
      <alignment horizontal="center" vertical="center" wrapText="1"/>
    </xf>
    <xf numFmtId="0" fontId="2" fillId="4" borderId="2" xfId="0" quotePrefix="1"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3" borderId="3" xfId="0" quotePrefix="1" applyFont="1" applyFill="1" applyBorder="1" applyAlignment="1">
      <alignment horizontal="center" vertical="center" wrapText="1"/>
    </xf>
    <xf numFmtId="0" fontId="2" fillId="3" borderId="2" xfId="0" quotePrefix="1" applyFont="1" applyFill="1" applyBorder="1" applyAlignment="1">
      <alignment horizontal="center" vertical="center" wrapText="1"/>
    </xf>
    <xf numFmtId="0" fontId="12" fillId="3" borderId="2" xfId="0" quotePrefix="1" applyFont="1" applyFill="1" applyBorder="1" applyAlignment="1">
      <alignment horizontal="center" vertical="center" wrapText="1"/>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4" borderId="11" xfId="0" quotePrefix="1" applyFont="1" applyFill="1" applyBorder="1" applyAlignment="1">
      <alignment horizontal="center" vertical="center" wrapText="1"/>
    </xf>
    <xf numFmtId="0" fontId="2" fillId="2" borderId="3" xfId="0" quotePrefix="1" applyFont="1" applyFill="1" applyBorder="1" applyAlignment="1">
      <alignment horizontal="center" vertical="center" wrapText="1"/>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xf numFmtId="164" fontId="4" fillId="0" borderId="5" xfId="0" applyNumberFormat="1" applyFont="1" applyBorder="1" applyAlignment="1">
      <alignment horizontal="center" vertical="center"/>
    </xf>
    <xf numFmtId="164" fontId="4" fillId="4" borderId="3" xfId="0" applyNumberFormat="1" applyFont="1" applyFill="1" applyBorder="1" applyAlignment="1">
      <alignment horizontal="center" vertical="center"/>
    </xf>
    <xf numFmtId="167" fontId="11" fillId="0" borderId="3" xfId="1" applyNumberFormat="1" applyFont="1" applyBorder="1" applyAlignment="1">
      <alignment horizontal="center" vertical="center"/>
    </xf>
    <xf numFmtId="16" fontId="2" fillId="4" borderId="4" xfId="0" applyNumberFormat="1" applyFont="1" applyFill="1" applyBorder="1" applyAlignment="1">
      <alignment horizontal="center" vertical="center"/>
    </xf>
    <xf numFmtId="165" fontId="4" fillId="3" borderId="4" xfId="1" applyNumberFormat="1" applyFont="1" applyFill="1" applyBorder="1" applyAlignment="1">
      <alignment horizontal="center" vertical="center"/>
    </xf>
    <xf numFmtId="167" fontId="4" fillId="3" borderId="4" xfId="0" applyNumberFormat="1" applyFont="1" applyFill="1" applyBorder="1" applyAlignment="1">
      <alignment horizontal="center" vertical="center"/>
    </xf>
    <xf numFmtId="165" fontId="4" fillId="0" borderId="4" xfId="1" applyNumberFormat="1" applyFont="1" applyBorder="1" applyAlignment="1">
      <alignment horizontal="center" vertical="center"/>
    </xf>
    <xf numFmtId="167" fontId="4" fillId="0" borderId="4" xfId="0" applyNumberFormat="1" applyFont="1" applyBorder="1" applyAlignment="1">
      <alignment horizontal="center" vertical="center"/>
    </xf>
    <xf numFmtId="165" fontId="11" fillId="0" borderId="4" xfId="1" applyNumberFormat="1" applyFont="1" applyBorder="1" applyAlignment="1">
      <alignment horizontal="center" vertical="center"/>
    </xf>
    <xf numFmtId="167" fontId="11" fillId="0" borderId="5" xfId="1" applyNumberFormat="1" applyFont="1" applyBorder="1" applyAlignment="1">
      <alignment horizontal="center" vertical="center"/>
    </xf>
    <xf numFmtId="0" fontId="13" fillId="4" borderId="12" xfId="0" quotePrefix="1" applyFont="1" applyFill="1" applyBorder="1" applyAlignment="1">
      <alignment horizontal="center" vertical="center" wrapText="1"/>
    </xf>
    <xf numFmtId="0" fontId="1" fillId="0" borderId="0" xfId="0" applyFont="1"/>
    <xf numFmtId="0" fontId="13" fillId="5" borderId="12" xfId="0" applyFont="1" applyFill="1" applyBorder="1" applyAlignment="1">
      <alignment horizontal="center" vertical="center"/>
    </xf>
    <xf numFmtId="0" fontId="13" fillId="6" borderId="12" xfId="0" applyFont="1" applyFill="1" applyBorder="1" applyAlignment="1">
      <alignment horizontal="center" vertical="center"/>
    </xf>
    <xf numFmtId="0" fontId="13" fillId="6" borderId="13" xfId="0" applyFont="1" applyFill="1" applyBorder="1" applyAlignment="1">
      <alignment horizontal="center" vertical="center"/>
    </xf>
    <xf numFmtId="0" fontId="13" fillId="5" borderId="14" xfId="0" applyFont="1" applyFill="1" applyBorder="1" applyAlignment="1">
      <alignment horizontal="center" vertical="center"/>
    </xf>
    <xf numFmtId="0" fontId="13" fillId="6" borderId="15" xfId="0" applyFont="1" applyFill="1" applyBorder="1" applyAlignment="1">
      <alignment horizontal="center" vertical="center"/>
    </xf>
    <xf numFmtId="0" fontId="13" fillId="5" borderId="15" xfId="0" applyFont="1" applyFill="1" applyBorder="1" applyAlignment="1">
      <alignment horizontal="center" vertical="center"/>
    </xf>
    <xf numFmtId="0" fontId="13" fillId="6" borderId="16" xfId="0" applyFont="1" applyFill="1" applyBorder="1" applyAlignment="1">
      <alignment horizontal="center" vertical="center"/>
    </xf>
    <xf numFmtId="0" fontId="13" fillId="5"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5" borderId="17" xfId="0" applyFont="1" applyFill="1" applyBorder="1" applyAlignment="1">
      <alignment horizontal="center" vertical="center"/>
    </xf>
    <xf numFmtId="0" fontId="13" fillId="6" borderId="18" xfId="0" applyFont="1" applyFill="1" applyBorder="1" applyAlignment="1">
      <alignment horizontal="center" vertical="center"/>
    </xf>
    <xf numFmtId="0" fontId="13" fillId="5" borderId="18" xfId="0" applyFont="1" applyFill="1" applyBorder="1" applyAlignment="1">
      <alignment horizontal="center" vertical="center"/>
    </xf>
    <xf numFmtId="0" fontId="13" fillId="6" borderId="19" xfId="0" applyFont="1" applyFill="1" applyBorder="1" applyAlignment="1">
      <alignment horizontal="center" vertical="center"/>
    </xf>
    <xf numFmtId="2" fontId="13" fillId="3" borderId="1" xfId="0" quotePrefix="1" applyNumberFormat="1" applyFont="1" applyFill="1" applyBorder="1" applyAlignment="1">
      <alignment horizontal="center" vertical="center" wrapText="1"/>
    </xf>
    <xf numFmtId="2" fontId="5" fillId="3" borderId="1" xfId="2" applyNumberFormat="1" applyFont="1" applyFill="1" applyBorder="1" applyAlignment="1">
      <alignment horizontal="center" vertical="center"/>
    </xf>
    <xf numFmtId="2" fontId="11" fillId="3" borderId="1" xfId="2" quotePrefix="1" applyNumberFormat="1" applyFont="1" applyFill="1" applyBorder="1" applyAlignment="1">
      <alignment horizontal="center" vertical="center"/>
    </xf>
    <xf numFmtId="2" fontId="11" fillId="3" borderId="1" xfId="2" applyNumberFormat="1" applyFont="1" applyFill="1" applyBorder="1" applyAlignment="1">
      <alignment horizontal="center" vertical="center"/>
    </xf>
    <xf numFmtId="2" fontId="11" fillId="3" borderId="14" xfId="2" applyNumberFormat="1" applyFont="1" applyFill="1" applyBorder="1" applyAlignment="1">
      <alignment horizontal="center" vertical="center"/>
    </xf>
    <xf numFmtId="2" fontId="11" fillId="3" borderId="1" xfId="1" applyNumberFormat="1" applyFont="1" applyFill="1" applyBorder="1" applyAlignment="1">
      <alignment horizontal="center" vertical="center"/>
    </xf>
    <xf numFmtId="2" fontId="11" fillId="4" borderId="1" xfId="2" applyNumberFormat="1" applyFont="1" applyFill="1" applyBorder="1" applyAlignment="1">
      <alignment horizontal="center" vertical="center"/>
    </xf>
    <xf numFmtId="2" fontId="5" fillId="4" borderId="1" xfId="2" applyNumberFormat="1" applyFont="1" applyFill="1" applyBorder="1" applyAlignment="1">
      <alignment horizontal="center" vertical="center"/>
    </xf>
    <xf numFmtId="2" fontId="5" fillId="4" borderId="14" xfId="2" applyNumberFormat="1" applyFont="1" applyFill="1" applyBorder="1" applyAlignment="1">
      <alignment horizontal="center" vertical="center"/>
    </xf>
    <xf numFmtId="2" fontId="11" fillId="5" borderId="1" xfId="1" applyNumberFormat="1" applyFont="1" applyFill="1" applyBorder="1" applyAlignment="1">
      <alignment horizontal="center" vertical="center"/>
    </xf>
    <xf numFmtId="2" fontId="11" fillId="6" borderId="1" xfId="1" applyNumberFormat="1" applyFont="1" applyFill="1" applyBorder="1" applyAlignment="1">
      <alignment horizontal="center" vertical="center"/>
    </xf>
    <xf numFmtId="2" fontId="0" fillId="0" borderId="0" xfId="0" applyNumberFormat="1"/>
    <xf numFmtId="2" fontId="11" fillId="3" borderId="1" xfId="0" applyNumberFormat="1" applyFont="1" applyFill="1" applyBorder="1" applyAlignment="1">
      <alignment horizontal="center" vertical="center"/>
    </xf>
    <xf numFmtId="2" fontId="5" fillId="3" borderId="14" xfId="2" applyNumberFormat="1" applyFont="1" applyFill="1" applyBorder="1" applyAlignment="1">
      <alignment horizontal="center" vertical="center"/>
    </xf>
    <xf numFmtId="2" fontId="11" fillId="4" borderId="1" xfId="2" quotePrefix="1" applyNumberFormat="1" applyFont="1" applyFill="1" applyBorder="1" applyAlignment="1">
      <alignment horizontal="center" vertical="center"/>
    </xf>
    <xf numFmtId="2" fontId="11" fillId="4" borderId="14" xfId="2" applyNumberFormat="1" applyFont="1" applyFill="1" applyBorder="1" applyAlignment="1">
      <alignment horizontal="center" vertical="center"/>
    </xf>
    <xf numFmtId="2" fontId="11" fillId="5" borderId="1" xfId="0" applyNumberFormat="1" applyFont="1" applyFill="1" applyBorder="1" applyAlignment="1">
      <alignment horizontal="center" vertical="center"/>
    </xf>
    <xf numFmtId="2" fontId="11" fillId="6" borderId="1" xfId="0" applyNumberFormat="1" applyFont="1" applyFill="1" applyBorder="1" applyAlignment="1">
      <alignment horizontal="center" vertical="center"/>
    </xf>
    <xf numFmtId="0" fontId="6" fillId="0" borderId="0" xfId="0" applyFont="1" applyAlignment="1">
      <alignment horizontal="center"/>
    </xf>
    <xf numFmtId="0" fontId="4" fillId="0" borderId="0" xfId="0" applyFont="1" applyAlignment="1">
      <alignment horizontal="center"/>
    </xf>
    <xf numFmtId="0" fontId="8" fillId="0" borderId="0" xfId="0" applyFont="1" applyAlignment="1">
      <alignment horizontal="center"/>
    </xf>
    <xf numFmtId="0" fontId="3" fillId="0" borderId="0" xfId="0" applyFont="1" applyAlignment="1">
      <alignment vertical="center" wrapText="1"/>
    </xf>
    <xf numFmtId="0" fontId="3" fillId="0" borderId="0" xfId="0" applyFont="1" applyAlignment="1">
      <alignment horizontal="left" vertical="center" wrapText="1"/>
    </xf>
    <xf numFmtId="0" fontId="10" fillId="0" borderId="0" xfId="0" applyFont="1" applyAlignment="1">
      <alignment vertical="top" wrapText="1"/>
    </xf>
  </cellXfs>
  <cellStyles count="3">
    <cellStyle name="Comma" xfId="1" builtinId="3"/>
    <cellStyle name="Currency" xfId="2" builtinId="4"/>
    <cellStyle name="Normal" xfId="0" builtinId="0"/>
  </cellStyles>
  <dxfs count="11">
    <dxf>
      <font>
        <b val="0"/>
        <i val="0"/>
        <strike val="0"/>
        <condense val="0"/>
        <extend val="0"/>
        <outline val="0"/>
        <shadow val="0"/>
        <u val="none"/>
        <vertAlign val="baseline"/>
        <sz val="12"/>
        <color theme="1"/>
        <name val="Times New Roman"/>
        <family val="1"/>
        <scheme val="none"/>
      </font>
      <numFmt numFmtId="167" formatCode="#,##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numFmt numFmtId="165" formatCode="&quot;$&quot;#,##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7"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5" formatCode="&quot;$&quot;#,##0.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5" formatCode="&quot;$&quot;#,##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7"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New Roman"/>
        <family val="1"/>
        <scheme val="none"/>
      </font>
      <numFmt numFmtId="165" formatCode="&quot;$&quot;#,##0.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Times New Roman"/>
        <family val="1"/>
        <scheme val="none"/>
      </font>
      <numFmt numFmtId="21" formatCode="d\-mmm"/>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85C614-AB19-AC41-98E5-AB144E57FBCD}" name="Table1" displayName="Table1" ref="A5:J63" totalsRowShown="0" tableBorderDxfId="10">
  <autoFilter ref="A5:J63" xr:uid="{EF85C614-AB19-AC41-98E5-AB144E57FBCD}"/>
  <tableColumns count="10">
    <tableColumn id="1" xr3:uid="{BE3EBB61-6801-564F-9742-526E9931EC71}" name="Column1" dataDxfId="9"/>
    <tableColumn id="2" xr3:uid="{D78934F0-B5BD-DD47-B901-7D6EFB01ED41}" name="Column2" dataDxfId="8"/>
    <tableColumn id="3" xr3:uid="{D355A652-5C92-9A47-B24F-E1AB1745BE65}" name="Direct Loans" dataDxfId="7" dataCellStyle="Comma"/>
    <tableColumn id="4" xr3:uid="{083AAE22-9C43-784E-94F1-52B8035E3BBC}" name="Column3" dataDxfId="6"/>
    <tableColumn id="5" xr3:uid="{1CCA2F44-8868-6D45-AA96-3A1959E02F09}" name="Federal Family Education Loans (FFEL)" dataDxfId="5" dataCellStyle="Comma"/>
    <tableColumn id="6" xr3:uid="{D56D4601-FA1F-A24D-BFE2-1F5EB630A3F6}" name="Column4" dataDxfId="4"/>
    <tableColumn id="7" xr3:uid="{2E89695E-3332-2745-98A8-64C625CB8B5E}" name="Perkins Loans" dataDxfId="3" dataCellStyle="Comma"/>
    <tableColumn id="8" xr3:uid="{E18E1618-5453-4D4D-A2F3-D2932524F9F2}" name="Column5" dataDxfId="2"/>
    <tableColumn id="9" xr3:uid="{2F49B492-6237-9A4C-9121-842F4BC2A447}" name="Total1" dataDxfId="1" dataCellStyle="Comma"/>
    <tableColumn id="10" xr3:uid="{4C60A2BF-A1AB-C44D-9D6D-7AB76E7E79C3}" name="Column6" dataDxfId="0" dataCellStyle="Comma"/>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oncours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Concourse">
      <a:majorFont>
        <a:latin typeface="Lucida Sans Unicode"/>
        <a:ea typeface=""/>
        <a:cs typeface=""/>
        <a:font script="Jpan" typeface="ＭＳ Ｐゴシック"/>
        <a:font script="Hang" typeface="맑은 고딕"/>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Uigh" typeface="Microsoft Uighur"/>
        <a:font script="Geor" typeface="Sylfaen"/>
      </a:majorFont>
      <a:minorFont>
        <a:latin typeface="Lucida Sans Unicode"/>
        <a:ea typeface=""/>
        <a:cs typeface=""/>
        <a:font script="Jpan" typeface="ＭＳ Ｐゴシック"/>
        <a:font script="Hang" typeface="맑은 고딕"/>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Uigh" typeface="Microsoft Uighur"/>
        <a:font script="Geor" typeface="Sylfaen"/>
      </a:minorFont>
    </a:fontScheme>
    <a:fmtScheme name="Concourse">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9525" cap="flat" cmpd="sng" algn="ctr">
          <a:solidFill>
            <a:schemeClr val="phClr"/>
          </a:solidFill>
          <a:prstDash val="solid"/>
        </a:ln>
        <a:ln w="55000" cap="flat" cmpd="thickThin" algn="ctr">
          <a:solidFill>
            <a:schemeClr val="phClr"/>
          </a:solidFill>
          <a:prstDash val="solid"/>
        </a:ln>
        <a:ln w="63500" cap="flat" cmpd="thickThin"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fov="0">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55000"/>
                <a:satMod val="300000"/>
              </a:schemeClr>
            </a:gs>
            <a:gs pos="40000">
              <a:schemeClr val="phClr">
                <a:tint val="65000"/>
                <a:satMod val="300000"/>
              </a:schemeClr>
            </a:gs>
            <a:gs pos="100000">
              <a:schemeClr val="phClr">
                <a:shade val="65000"/>
                <a:satMod val="300000"/>
              </a:schemeClr>
            </a:gs>
          </a:gsLst>
          <a:path path="circle">
            <a:fillToRect l="65000" b="98000"/>
          </a:path>
        </a:gradFill>
        <a:blipFill>
          <a:blip xmlns:r="http://schemas.openxmlformats.org/officeDocument/2006/relationships" r:embed="rId1">
            <a:duotone>
              <a:schemeClr val="phClr">
                <a:shade val="60000"/>
                <a:satMod val="110000"/>
              </a:schemeClr>
              <a:schemeClr val="phClr">
                <a:tint val="95000"/>
              </a:schemeClr>
            </a:duotone>
          </a:blip>
          <a:tile tx="0" ty="0" sx="50000" sy="5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6FFF-B6B6-2446-9C7C-E1E4CEB6E276}">
  <sheetPr>
    <pageSetUpPr fitToPage="1"/>
  </sheetPr>
  <dimension ref="A1:L69"/>
  <sheetViews>
    <sheetView zoomScaleNormal="98" workbookViewId="0">
      <selection activeCell="H7" sqref="H7:H63"/>
    </sheetView>
  </sheetViews>
  <sheetFormatPr baseColWidth="10" defaultRowHeight="13" x14ac:dyDescent="0.15"/>
  <cols>
    <col min="1" max="1" width="14.1640625" customWidth="1"/>
    <col min="2" max="2" width="10.6640625" customWidth="1"/>
    <col min="3" max="3" width="21" bestFit="1" customWidth="1"/>
    <col min="4" max="4" width="14.1640625" customWidth="1"/>
    <col min="5" max="5" width="38.1640625" customWidth="1"/>
    <col min="6" max="6" width="14.1640625" customWidth="1"/>
    <col min="7" max="7" width="16.5" bestFit="1" customWidth="1"/>
    <col min="8" max="8" width="14.1640625" customWidth="1"/>
    <col min="9" max="9" width="20.1640625" bestFit="1" customWidth="1"/>
    <col min="10" max="10" width="14.1640625" customWidth="1"/>
    <col min="11" max="256" width="8.83203125" customWidth="1"/>
  </cols>
  <sheetData>
    <row r="1" spans="1:10" ht="18" x14ac:dyDescent="0.2">
      <c r="A1" s="100" t="s">
        <v>2</v>
      </c>
      <c r="B1" s="100"/>
      <c r="C1" s="100"/>
      <c r="D1" s="100"/>
      <c r="E1" s="100"/>
      <c r="F1" s="100"/>
      <c r="G1" s="100"/>
      <c r="H1" s="100"/>
      <c r="I1" s="100"/>
      <c r="J1" s="100"/>
    </row>
    <row r="2" spans="1:10" ht="16" x14ac:dyDescent="0.2">
      <c r="A2" s="102" t="s">
        <v>12</v>
      </c>
      <c r="B2" s="102"/>
      <c r="C2" s="101"/>
      <c r="D2" s="101"/>
      <c r="E2" s="101"/>
      <c r="F2" s="101"/>
      <c r="G2" s="101"/>
      <c r="H2" s="101"/>
      <c r="I2" s="101"/>
      <c r="J2" s="101"/>
    </row>
    <row r="3" spans="1:10" ht="16" x14ac:dyDescent="0.2">
      <c r="A3" s="101" t="s">
        <v>3</v>
      </c>
      <c r="B3" s="101"/>
      <c r="C3" s="101"/>
      <c r="D3" s="101"/>
      <c r="E3" s="101"/>
      <c r="F3" s="101"/>
      <c r="G3" s="101"/>
      <c r="H3" s="101"/>
      <c r="I3" s="101"/>
      <c r="J3" s="101"/>
    </row>
    <row r="4" spans="1:10" x14ac:dyDescent="0.15">
      <c r="C4" s="1"/>
      <c r="D4" s="1"/>
      <c r="E4" s="1"/>
      <c r="F4" s="1"/>
      <c r="G4" s="1"/>
      <c r="H4" s="1"/>
    </row>
    <row r="5" spans="1:10" ht="31.75" customHeight="1" x14ac:dyDescent="0.15">
      <c r="A5" t="s">
        <v>21</v>
      </c>
      <c r="B5" t="s">
        <v>22</v>
      </c>
      <c r="C5" s="46" t="s">
        <v>0</v>
      </c>
      <c r="D5" s="47" t="s">
        <v>23</v>
      </c>
      <c r="E5" s="38" t="s">
        <v>6</v>
      </c>
      <c r="F5" s="39" t="s">
        <v>24</v>
      </c>
      <c r="G5" s="46" t="s">
        <v>1</v>
      </c>
      <c r="H5" s="48" t="s">
        <v>25</v>
      </c>
      <c r="I5" s="38" t="s">
        <v>13</v>
      </c>
      <c r="J5" s="53" t="s">
        <v>26</v>
      </c>
    </row>
    <row r="6" spans="1:10" ht="45" customHeight="1" x14ac:dyDescent="0.15">
      <c r="A6" s="38" t="s">
        <v>17</v>
      </c>
      <c r="B6" s="39"/>
      <c r="C6" s="2" t="s">
        <v>10</v>
      </c>
      <c r="D6" s="2" t="s">
        <v>14</v>
      </c>
      <c r="E6" s="3" t="s">
        <v>11</v>
      </c>
      <c r="F6" s="3" t="s">
        <v>4</v>
      </c>
      <c r="G6" s="2" t="s">
        <v>10</v>
      </c>
      <c r="H6" s="2" t="s">
        <v>4</v>
      </c>
      <c r="I6" s="3" t="s">
        <v>11</v>
      </c>
      <c r="J6" s="54" t="s">
        <v>5</v>
      </c>
    </row>
    <row r="7" spans="1:10" ht="30.25" customHeight="1" x14ac:dyDescent="0.15">
      <c r="A7" s="40">
        <v>2007</v>
      </c>
      <c r="B7" s="41"/>
      <c r="C7" s="16">
        <v>106.8</v>
      </c>
      <c r="D7" s="10">
        <v>7</v>
      </c>
      <c r="E7" s="14">
        <v>401.9</v>
      </c>
      <c r="F7" s="5">
        <v>22.6</v>
      </c>
      <c r="G7" s="12">
        <v>8.1999999999999993</v>
      </c>
      <c r="H7" s="4">
        <v>2.8</v>
      </c>
      <c r="I7" s="11">
        <v>516</v>
      </c>
      <c r="J7" s="55">
        <v>28.3</v>
      </c>
    </row>
    <row r="8" spans="1:10" ht="30.25" customHeight="1" x14ac:dyDescent="0.15">
      <c r="A8" s="40">
        <v>2008</v>
      </c>
      <c r="B8" s="41"/>
      <c r="C8" s="16">
        <v>122.5</v>
      </c>
      <c r="D8" s="6">
        <v>7.7</v>
      </c>
      <c r="E8" s="15">
        <v>446.5</v>
      </c>
      <c r="F8" s="5">
        <v>23.7</v>
      </c>
      <c r="G8" s="13">
        <v>8.5</v>
      </c>
      <c r="H8" s="7">
        <v>2.9</v>
      </c>
      <c r="I8" s="11">
        <v>577</v>
      </c>
      <c r="J8" s="55">
        <v>29.9</v>
      </c>
    </row>
    <row r="9" spans="1:10" ht="30.25" customHeight="1" x14ac:dyDescent="0.15">
      <c r="A9" s="40">
        <v>2009</v>
      </c>
      <c r="B9" s="41"/>
      <c r="C9" s="16">
        <v>154.9</v>
      </c>
      <c r="D9" s="6">
        <v>9.1999999999999993</v>
      </c>
      <c r="E9" s="15">
        <v>493.3</v>
      </c>
      <c r="F9" s="9">
        <v>25</v>
      </c>
      <c r="G9" s="13">
        <v>8.6999999999999993</v>
      </c>
      <c r="H9" s="19">
        <v>3</v>
      </c>
      <c r="I9" s="11">
        <v>657</v>
      </c>
      <c r="J9" s="55">
        <v>32.1</v>
      </c>
    </row>
    <row r="10" spans="1:10" ht="30.25" customHeight="1" x14ac:dyDescent="0.15">
      <c r="A10" s="40">
        <v>2010</v>
      </c>
      <c r="B10" s="41"/>
      <c r="C10" s="17">
        <v>224.5</v>
      </c>
      <c r="D10" s="6">
        <v>14.4</v>
      </c>
      <c r="E10" s="15">
        <v>516.70000000000005</v>
      </c>
      <c r="F10" s="5">
        <v>25.1</v>
      </c>
      <c r="G10" s="13">
        <v>8.4</v>
      </c>
      <c r="H10" s="7">
        <v>2.9</v>
      </c>
      <c r="I10" s="11">
        <v>749.8</v>
      </c>
      <c r="J10" s="55">
        <v>34.299999999999997</v>
      </c>
    </row>
    <row r="11" spans="1:10" ht="30.25" customHeight="1" x14ac:dyDescent="0.15">
      <c r="A11" s="40">
        <v>2011</v>
      </c>
      <c r="B11" s="41"/>
      <c r="C11" s="17">
        <v>350.1</v>
      </c>
      <c r="D11" s="6">
        <v>19.399999999999999</v>
      </c>
      <c r="E11" s="15">
        <v>489.8</v>
      </c>
      <c r="F11" s="5">
        <v>23.8</v>
      </c>
      <c r="G11" s="13">
        <v>8.3000000000000007</v>
      </c>
      <c r="H11" s="7">
        <v>2.9</v>
      </c>
      <c r="I11" s="11">
        <v>848.2</v>
      </c>
      <c r="J11" s="55">
        <v>36.5</v>
      </c>
    </row>
    <row r="12" spans="1:10" ht="30.25" customHeight="1" x14ac:dyDescent="0.15">
      <c r="A12" s="42">
        <v>2012</v>
      </c>
      <c r="B12" s="41"/>
      <c r="C12" s="18">
        <v>488.3</v>
      </c>
      <c r="D12" s="6">
        <v>22.8</v>
      </c>
      <c r="E12" s="15">
        <v>451.7</v>
      </c>
      <c r="F12" s="8">
        <v>22.4</v>
      </c>
      <c r="G12" s="12">
        <v>8.1999999999999993</v>
      </c>
      <c r="H12" s="7">
        <v>2.9</v>
      </c>
      <c r="I12" s="11">
        <v>948.2</v>
      </c>
      <c r="J12" s="55">
        <v>38.299999999999997</v>
      </c>
    </row>
    <row r="13" spans="1:10" ht="30.25" customHeight="1" x14ac:dyDescent="0.15">
      <c r="A13" s="43">
        <v>2013</v>
      </c>
      <c r="B13" s="20" t="s">
        <v>15</v>
      </c>
      <c r="C13" s="18">
        <v>508.7</v>
      </c>
      <c r="D13" s="6">
        <v>23.4</v>
      </c>
      <c r="E13" s="15">
        <v>444.9</v>
      </c>
      <c r="F13" s="8">
        <v>22.1</v>
      </c>
      <c r="G13" s="12">
        <v>8.1999999999999993</v>
      </c>
      <c r="H13" s="19">
        <v>3</v>
      </c>
      <c r="I13" s="11">
        <v>961.9</v>
      </c>
      <c r="J13" s="55">
        <v>38.700000000000003</v>
      </c>
    </row>
    <row r="14" spans="1:10" ht="30.25" customHeight="1" x14ac:dyDescent="0.15">
      <c r="A14" s="44"/>
      <c r="B14" s="20" t="s">
        <v>16</v>
      </c>
      <c r="C14" s="18">
        <v>553</v>
      </c>
      <c r="D14" s="6">
        <v>24.1</v>
      </c>
      <c r="E14" s="15">
        <v>437</v>
      </c>
      <c r="F14" s="8">
        <v>21.6</v>
      </c>
      <c r="G14" s="12">
        <v>8.3000000000000007</v>
      </c>
      <c r="H14" s="19">
        <v>3</v>
      </c>
      <c r="I14" s="11">
        <v>998.6</v>
      </c>
      <c r="J14" s="55">
        <v>38.9</v>
      </c>
    </row>
    <row r="15" spans="1:10" ht="30.25" customHeight="1" x14ac:dyDescent="0.15">
      <c r="A15" s="44"/>
      <c r="B15" s="20" t="s">
        <v>18</v>
      </c>
      <c r="C15" s="18">
        <v>569.20000000000005</v>
      </c>
      <c r="D15" s="6">
        <v>24.3</v>
      </c>
      <c r="E15" s="15">
        <v>429.5</v>
      </c>
      <c r="F15" s="8">
        <v>21.2</v>
      </c>
      <c r="G15" s="12">
        <v>8.1999999999999993</v>
      </c>
      <c r="H15" s="19">
        <v>2.9</v>
      </c>
      <c r="I15" s="11">
        <v>1006.8</v>
      </c>
      <c r="J15" s="55">
        <v>38.700000000000003</v>
      </c>
    </row>
    <row r="16" spans="1:10" ht="30.25" customHeight="1" x14ac:dyDescent="0.15">
      <c r="A16" s="45"/>
      <c r="B16" s="21" t="s">
        <v>20</v>
      </c>
      <c r="C16" s="18">
        <v>609.1</v>
      </c>
      <c r="D16" s="6">
        <v>25.6</v>
      </c>
      <c r="E16" s="15">
        <v>423</v>
      </c>
      <c r="F16" s="8">
        <v>20.9</v>
      </c>
      <c r="G16" s="12">
        <v>8.1</v>
      </c>
      <c r="H16" s="19">
        <v>2.9</v>
      </c>
      <c r="I16" s="11">
        <v>1040.2</v>
      </c>
      <c r="J16" s="55">
        <v>39.6</v>
      </c>
    </row>
    <row r="17" spans="1:10" ht="30.25" customHeight="1" x14ac:dyDescent="0.15">
      <c r="A17" s="43">
        <v>2014</v>
      </c>
      <c r="B17" s="20" t="s">
        <v>15</v>
      </c>
      <c r="C17" s="18">
        <v>626.5</v>
      </c>
      <c r="D17" s="6">
        <v>26.2</v>
      </c>
      <c r="E17" s="15">
        <v>417.1</v>
      </c>
      <c r="F17" s="8">
        <v>20.6</v>
      </c>
      <c r="G17" s="12">
        <v>8.1999999999999993</v>
      </c>
      <c r="H17" s="19">
        <v>3</v>
      </c>
      <c r="I17" s="11">
        <v>1051.8</v>
      </c>
      <c r="J17" s="56">
        <v>40</v>
      </c>
    </row>
    <row r="18" spans="1:10" ht="30.25" customHeight="1" x14ac:dyDescent="0.15">
      <c r="A18" s="44"/>
      <c r="B18" s="20" t="s">
        <v>16</v>
      </c>
      <c r="C18" s="18">
        <v>669</v>
      </c>
      <c r="D18" s="6">
        <v>26.5</v>
      </c>
      <c r="E18" s="15">
        <v>409.7</v>
      </c>
      <c r="F18" s="8">
        <v>20.2</v>
      </c>
      <c r="G18" s="12">
        <v>8.3000000000000007</v>
      </c>
      <c r="H18" s="19">
        <v>3</v>
      </c>
      <c r="I18" s="11">
        <v>1087</v>
      </c>
      <c r="J18" s="56">
        <v>40</v>
      </c>
    </row>
    <row r="19" spans="1:10" ht="30.25" customHeight="1" x14ac:dyDescent="0.15">
      <c r="A19" s="44"/>
      <c r="B19" s="20" t="s">
        <v>18</v>
      </c>
      <c r="C19" s="18">
        <v>685.7</v>
      </c>
      <c r="D19" s="6">
        <v>26.7</v>
      </c>
      <c r="E19" s="15">
        <v>402.5</v>
      </c>
      <c r="F19" s="8">
        <v>19.8</v>
      </c>
      <c r="G19" s="12">
        <v>8.1999999999999993</v>
      </c>
      <c r="H19" s="19">
        <v>2.9</v>
      </c>
      <c r="I19" s="11">
        <v>1096.5</v>
      </c>
      <c r="J19" s="56">
        <v>39.9</v>
      </c>
    </row>
    <row r="20" spans="1:10" ht="30.25" customHeight="1" x14ac:dyDescent="0.15">
      <c r="A20" s="45"/>
      <c r="B20" s="20" t="s">
        <v>20</v>
      </c>
      <c r="C20" s="18">
        <v>726.6</v>
      </c>
      <c r="D20" s="6">
        <v>27.9</v>
      </c>
      <c r="E20" s="15">
        <v>395</v>
      </c>
      <c r="F20" s="8">
        <v>19.399999999999999</v>
      </c>
      <c r="G20" s="12">
        <v>8.1999999999999993</v>
      </c>
      <c r="H20" s="19">
        <v>2.9</v>
      </c>
      <c r="I20" s="11">
        <v>1129.8</v>
      </c>
      <c r="J20" s="56">
        <v>40.700000000000003</v>
      </c>
    </row>
    <row r="21" spans="1:10" ht="30.25" customHeight="1" x14ac:dyDescent="0.15">
      <c r="A21" s="43">
        <v>2015</v>
      </c>
      <c r="B21" s="20" t="s">
        <v>15</v>
      </c>
      <c r="C21" s="18">
        <v>744.3</v>
      </c>
      <c r="D21" s="6">
        <v>28.5</v>
      </c>
      <c r="E21" s="15">
        <v>387.6</v>
      </c>
      <c r="F21" s="8">
        <v>19.100000000000001</v>
      </c>
      <c r="G21" s="12">
        <v>8.1999999999999993</v>
      </c>
      <c r="H21" s="19">
        <v>3</v>
      </c>
      <c r="I21" s="11">
        <v>1140.0999999999999</v>
      </c>
      <c r="J21" s="56">
        <v>41.1</v>
      </c>
    </row>
    <row r="22" spans="1:10" ht="30.75" customHeight="1" x14ac:dyDescent="0.15">
      <c r="A22" s="44"/>
      <c r="B22" s="20" t="s">
        <v>16</v>
      </c>
      <c r="C22" s="18">
        <v>787</v>
      </c>
      <c r="D22" s="6">
        <v>28.7</v>
      </c>
      <c r="E22" s="15">
        <v>379.1</v>
      </c>
      <c r="F22" s="8">
        <v>18.600000000000001</v>
      </c>
      <c r="G22" s="12">
        <v>8.3000000000000007</v>
      </c>
      <c r="H22" s="19">
        <v>2.9</v>
      </c>
      <c r="I22" s="11">
        <v>1174.4000000000001</v>
      </c>
      <c r="J22" s="56">
        <v>41</v>
      </c>
    </row>
    <row r="23" spans="1:10" ht="30.75" customHeight="1" x14ac:dyDescent="0.15">
      <c r="A23" s="44"/>
      <c r="B23" s="20" t="s">
        <v>18</v>
      </c>
      <c r="C23" s="18">
        <v>803.1</v>
      </c>
      <c r="D23" s="6">
        <v>28.8</v>
      </c>
      <c r="E23" s="15">
        <v>370.9</v>
      </c>
      <c r="F23" s="8">
        <v>18.2</v>
      </c>
      <c r="G23" s="12">
        <v>8.1999999999999993</v>
      </c>
      <c r="H23" s="19">
        <v>2.9</v>
      </c>
      <c r="I23" s="11">
        <v>1182.0999999999999</v>
      </c>
      <c r="J23" s="56">
        <v>40.799999999999997</v>
      </c>
    </row>
    <row r="24" spans="1:10" ht="30.75" customHeight="1" x14ac:dyDescent="0.15">
      <c r="A24" s="45"/>
      <c r="B24" s="20" t="s">
        <v>20</v>
      </c>
      <c r="C24" s="18">
        <v>840.7</v>
      </c>
      <c r="D24" s="6">
        <v>29.9</v>
      </c>
      <c r="E24" s="15">
        <v>363.6</v>
      </c>
      <c r="F24" s="8">
        <v>17.899999999999999</v>
      </c>
      <c r="G24" s="12">
        <v>8.1</v>
      </c>
      <c r="H24" s="19">
        <v>2.8</v>
      </c>
      <c r="I24" s="11">
        <v>1212.4000000000001</v>
      </c>
      <c r="J24" s="56">
        <v>41.6</v>
      </c>
    </row>
    <row r="25" spans="1:10" ht="30.75" customHeight="1" x14ac:dyDescent="0.15">
      <c r="A25" s="43">
        <v>2016</v>
      </c>
      <c r="B25" s="20" t="s">
        <v>15</v>
      </c>
      <c r="C25" s="18">
        <v>854.8</v>
      </c>
      <c r="D25" s="6">
        <v>30.3</v>
      </c>
      <c r="E25" s="15">
        <v>357.3</v>
      </c>
      <c r="F25" s="8">
        <v>17.5</v>
      </c>
      <c r="G25" s="12">
        <v>8.1</v>
      </c>
      <c r="H25" s="19">
        <v>2.9</v>
      </c>
      <c r="I25" s="11">
        <v>1220.3</v>
      </c>
      <c r="J25" s="56">
        <v>41.8</v>
      </c>
    </row>
    <row r="26" spans="1:10" ht="30.25" customHeight="1" x14ac:dyDescent="0.15">
      <c r="A26" s="44"/>
      <c r="B26" s="20" t="s">
        <v>16</v>
      </c>
      <c r="C26" s="18">
        <v>896.6</v>
      </c>
      <c r="D26" s="6">
        <v>30.5</v>
      </c>
      <c r="E26" s="15">
        <v>350.2</v>
      </c>
      <c r="F26" s="8">
        <v>17.2</v>
      </c>
      <c r="G26" s="12">
        <v>8.1999999999999993</v>
      </c>
      <c r="H26" s="19">
        <v>2.8</v>
      </c>
      <c r="I26" s="11">
        <v>1254.9000000000001</v>
      </c>
      <c r="J26" s="56">
        <v>41.7</v>
      </c>
    </row>
    <row r="27" spans="1:10" ht="30.25" customHeight="1" x14ac:dyDescent="0.15">
      <c r="A27" s="44"/>
      <c r="B27" s="21" t="s">
        <v>18</v>
      </c>
      <c r="C27" s="18">
        <v>911.6</v>
      </c>
      <c r="D27" s="6">
        <v>30.5</v>
      </c>
      <c r="E27" s="15">
        <v>342.6</v>
      </c>
      <c r="F27" s="8">
        <v>16.8</v>
      </c>
      <c r="G27" s="12">
        <v>8</v>
      </c>
      <c r="H27" s="19">
        <v>2.7</v>
      </c>
      <c r="I27" s="11">
        <v>1262.2</v>
      </c>
      <c r="J27" s="56">
        <v>41.5</v>
      </c>
    </row>
    <row r="28" spans="1:10" ht="30.25" customHeight="1" x14ac:dyDescent="0.15">
      <c r="A28" s="45"/>
      <c r="B28" s="21" t="s">
        <v>20</v>
      </c>
      <c r="C28" s="18">
        <v>949.1</v>
      </c>
      <c r="D28" s="6">
        <v>31.5</v>
      </c>
      <c r="E28" s="15">
        <v>335.2</v>
      </c>
      <c r="F28" s="8">
        <v>16.399999999999999</v>
      </c>
      <c r="G28" s="12">
        <v>7.9</v>
      </c>
      <c r="H28" s="19">
        <v>2.7</v>
      </c>
      <c r="I28" s="11">
        <v>1292.2</v>
      </c>
      <c r="J28" s="56">
        <v>42.3</v>
      </c>
    </row>
    <row r="29" spans="1:10" ht="30.25" customHeight="1" x14ac:dyDescent="0.15">
      <c r="A29" s="43">
        <v>2017</v>
      </c>
      <c r="B29" s="21" t="s">
        <v>15</v>
      </c>
      <c r="C29" s="18">
        <v>963.5</v>
      </c>
      <c r="D29" s="6">
        <v>31.9</v>
      </c>
      <c r="E29" s="15">
        <v>328.3</v>
      </c>
      <c r="F29" s="8">
        <v>16.100000000000001</v>
      </c>
      <c r="G29" s="12">
        <v>7.9</v>
      </c>
      <c r="H29" s="19">
        <v>2.7</v>
      </c>
      <c r="I29" s="11">
        <v>1299.7</v>
      </c>
      <c r="J29" s="56">
        <v>42.4</v>
      </c>
    </row>
    <row r="30" spans="1:10" ht="30.25" customHeight="1" x14ac:dyDescent="0.15">
      <c r="A30" s="44"/>
      <c r="B30" s="21" t="s">
        <v>16</v>
      </c>
      <c r="C30" s="18">
        <v>1003.3</v>
      </c>
      <c r="D30" s="6">
        <v>32.1</v>
      </c>
      <c r="E30" s="15">
        <v>320.5</v>
      </c>
      <c r="F30" s="8">
        <v>15.7</v>
      </c>
      <c r="G30" s="12">
        <v>7.9</v>
      </c>
      <c r="H30" s="19">
        <v>2.6</v>
      </c>
      <c r="I30" s="11">
        <v>1331.7</v>
      </c>
      <c r="J30" s="56">
        <v>42.3</v>
      </c>
    </row>
    <row r="31" spans="1:10" ht="30.25" customHeight="1" x14ac:dyDescent="0.15">
      <c r="A31" s="44"/>
      <c r="B31" s="21" t="s">
        <v>18</v>
      </c>
      <c r="C31" s="18">
        <v>1017</v>
      </c>
      <c r="D31" s="22">
        <v>32</v>
      </c>
      <c r="E31" s="15">
        <v>312.60000000000002</v>
      </c>
      <c r="F31" s="8">
        <v>15.2</v>
      </c>
      <c r="G31" s="12">
        <v>7.8</v>
      </c>
      <c r="H31" s="19">
        <v>2.6</v>
      </c>
      <c r="I31" s="11">
        <v>1337.4</v>
      </c>
      <c r="J31" s="56">
        <v>42</v>
      </c>
    </row>
    <row r="32" spans="1:10" ht="30.25" customHeight="1" x14ac:dyDescent="0.15">
      <c r="A32" s="45"/>
      <c r="B32" s="21" t="s">
        <v>20</v>
      </c>
      <c r="C32" s="18">
        <v>1053.5</v>
      </c>
      <c r="D32" s="22">
        <v>33</v>
      </c>
      <c r="E32" s="15">
        <v>305.8</v>
      </c>
      <c r="F32" s="8">
        <v>14.9</v>
      </c>
      <c r="G32" s="12">
        <v>7.6</v>
      </c>
      <c r="H32" s="19">
        <v>2.5</v>
      </c>
      <c r="I32" s="11">
        <v>1366.9</v>
      </c>
      <c r="J32" s="56">
        <v>42.6</v>
      </c>
    </row>
    <row r="33" spans="1:12" ht="30.25" customHeight="1" x14ac:dyDescent="0.15">
      <c r="A33" s="43">
        <v>2018</v>
      </c>
      <c r="B33" s="21" t="s">
        <v>15</v>
      </c>
      <c r="C33" s="18">
        <v>1066.8</v>
      </c>
      <c r="D33" s="22">
        <v>33.299999999999997</v>
      </c>
      <c r="E33" s="15">
        <v>301.10000000000002</v>
      </c>
      <c r="F33" s="8">
        <v>14.5</v>
      </c>
      <c r="G33" s="12">
        <v>7.6</v>
      </c>
      <c r="H33" s="19">
        <v>2.5</v>
      </c>
      <c r="I33" s="11">
        <v>1375.5</v>
      </c>
      <c r="J33" s="56">
        <v>42.8</v>
      </c>
    </row>
    <row r="34" spans="1:12" ht="30.25" customHeight="1" x14ac:dyDescent="0.15">
      <c r="A34" s="44"/>
      <c r="B34" s="21" t="s">
        <v>16</v>
      </c>
      <c r="C34" s="18">
        <v>1104</v>
      </c>
      <c r="D34" s="22">
        <v>33.4</v>
      </c>
      <c r="E34" s="15">
        <v>295.5</v>
      </c>
      <c r="F34" s="8">
        <v>14.2</v>
      </c>
      <c r="G34" s="12">
        <v>7.6</v>
      </c>
      <c r="H34" s="19">
        <v>2.5</v>
      </c>
      <c r="I34" s="11">
        <v>1407.1</v>
      </c>
      <c r="J34" s="56">
        <v>42.6</v>
      </c>
    </row>
    <row r="35" spans="1:12" ht="30.25" customHeight="1" x14ac:dyDescent="0.15">
      <c r="A35" s="44"/>
      <c r="B35" s="21" t="s">
        <v>18</v>
      </c>
      <c r="C35" s="18">
        <v>1116</v>
      </c>
      <c r="D35" s="22">
        <v>33.299999999999997</v>
      </c>
      <c r="E35" s="15">
        <v>288.60000000000002</v>
      </c>
      <c r="F35" s="8">
        <v>13.8</v>
      </c>
      <c r="G35" s="12">
        <v>7.4</v>
      </c>
      <c r="H35" s="19">
        <v>2.4</v>
      </c>
      <c r="I35" s="11">
        <v>1412</v>
      </c>
      <c r="J35" s="56">
        <v>42.2</v>
      </c>
    </row>
    <row r="36" spans="1:12" ht="30.25" customHeight="1" x14ac:dyDescent="0.15">
      <c r="A36" s="45"/>
      <c r="B36" s="21" t="s">
        <v>20</v>
      </c>
      <c r="C36" s="18">
        <v>1150.3</v>
      </c>
      <c r="D36" s="22">
        <v>34.200000000000003</v>
      </c>
      <c r="E36" s="15">
        <v>281.8</v>
      </c>
      <c r="F36" s="8">
        <v>13.5</v>
      </c>
      <c r="G36" s="12">
        <v>7.1</v>
      </c>
      <c r="H36" s="19">
        <v>2.2999999999999998</v>
      </c>
      <c r="I36" s="11">
        <v>1439.2</v>
      </c>
      <c r="J36" s="56">
        <v>42.9</v>
      </c>
    </row>
    <row r="37" spans="1:12" ht="30.25" customHeight="1" x14ac:dyDescent="0.15">
      <c r="A37" s="49">
        <v>2019</v>
      </c>
      <c r="B37" s="21" t="s">
        <v>15</v>
      </c>
      <c r="C37" s="18">
        <v>1163.3</v>
      </c>
      <c r="D37" s="22">
        <v>34.5</v>
      </c>
      <c r="E37" s="15">
        <v>277</v>
      </c>
      <c r="F37" s="8">
        <v>13.1</v>
      </c>
      <c r="G37" s="12">
        <v>6.9</v>
      </c>
      <c r="H37" s="19">
        <v>2.2000000000000002</v>
      </c>
      <c r="I37" s="11">
        <v>1447.1</v>
      </c>
      <c r="J37" s="56">
        <v>43</v>
      </c>
    </row>
    <row r="38" spans="1:12" ht="30.25" customHeight="1" x14ac:dyDescent="0.15">
      <c r="A38" s="49"/>
      <c r="B38" s="21" t="s">
        <v>16</v>
      </c>
      <c r="C38" s="18">
        <v>1198.4000000000001</v>
      </c>
      <c r="D38" s="22">
        <v>34.5</v>
      </c>
      <c r="E38" s="15">
        <v>271.60000000000002</v>
      </c>
      <c r="F38" s="8">
        <v>12.8</v>
      </c>
      <c r="G38" s="12">
        <v>6.6</v>
      </c>
      <c r="H38" s="19">
        <v>2.2000000000000002</v>
      </c>
      <c r="I38" s="11">
        <v>1476.6</v>
      </c>
      <c r="J38" s="56">
        <v>42.8</v>
      </c>
    </row>
    <row r="39" spans="1:12" ht="30.25" customHeight="1" x14ac:dyDescent="0.15">
      <c r="A39" s="49"/>
      <c r="B39" s="21" t="s">
        <v>18</v>
      </c>
      <c r="C39" s="18">
        <v>1208.8</v>
      </c>
      <c r="D39" s="22">
        <v>34.299999999999997</v>
      </c>
      <c r="E39" s="15">
        <v>266</v>
      </c>
      <c r="F39" s="8">
        <v>12.4</v>
      </c>
      <c r="G39" s="12">
        <v>6.3</v>
      </c>
      <c r="H39" s="19">
        <v>2.1</v>
      </c>
      <c r="I39" s="11">
        <v>1481.1</v>
      </c>
      <c r="J39" s="56">
        <v>42.2</v>
      </c>
    </row>
    <row r="40" spans="1:12" ht="30.25" customHeight="1" x14ac:dyDescent="0.15">
      <c r="A40" s="49"/>
      <c r="B40" s="21" t="s">
        <v>20</v>
      </c>
      <c r="C40" s="18">
        <v>1242.5999999999999</v>
      </c>
      <c r="D40" s="22">
        <v>35.1</v>
      </c>
      <c r="E40" s="15">
        <v>261.60000000000002</v>
      </c>
      <c r="F40" s="8">
        <v>12.1</v>
      </c>
      <c r="G40" s="12">
        <v>6.1</v>
      </c>
      <c r="H40" s="19">
        <v>2</v>
      </c>
      <c r="I40" s="11">
        <v>1510.3</v>
      </c>
      <c r="J40" s="56">
        <v>42.9</v>
      </c>
      <c r="K40" s="23"/>
    </row>
    <row r="41" spans="1:12" ht="30.25" customHeight="1" x14ac:dyDescent="0.15">
      <c r="A41" s="43">
        <v>2020</v>
      </c>
      <c r="B41" s="21" t="s">
        <v>15</v>
      </c>
      <c r="C41" s="18">
        <v>1251.9000000000001</v>
      </c>
      <c r="D41" s="22">
        <v>35.299999999999997</v>
      </c>
      <c r="E41" s="15">
        <v>257.2</v>
      </c>
      <c r="F41" s="8">
        <v>11.8</v>
      </c>
      <c r="G41" s="12">
        <v>5.9</v>
      </c>
      <c r="H41" s="19">
        <v>1.9</v>
      </c>
      <c r="I41" s="11">
        <v>1515</v>
      </c>
      <c r="J41" s="56">
        <v>42.8</v>
      </c>
    </row>
    <row r="42" spans="1:12" ht="30.25" customHeight="1" x14ac:dyDescent="0.15">
      <c r="A42" s="44"/>
      <c r="B42" s="21" t="s">
        <v>16</v>
      </c>
      <c r="C42" s="29">
        <v>1284.7</v>
      </c>
      <c r="D42" s="30">
        <v>35.299999999999997</v>
      </c>
      <c r="E42" s="31">
        <v>252.4</v>
      </c>
      <c r="F42" s="32">
        <v>11.5</v>
      </c>
      <c r="G42" s="33">
        <v>5.6</v>
      </c>
      <c r="H42" s="34">
        <v>1.9</v>
      </c>
      <c r="I42" s="35">
        <v>1542.7</v>
      </c>
      <c r="J42" s="57">
        <v>42.6</v>
      </c>
      <c r="L42" s="23"/>
    </row>
    <row r="43" spans="1:12" ht="33" customHeight="1" x14ac:dyDescent="0.15">
      <c r="A43" s="44"/>
      <c r="B43" s="28" t="s">
        <v>18</v>
      </c>
      <c r="C43" s="24">
        <v>1290.5999999999999</v>
      </c>
      <c r="D43" s="25">
        <v>35.200000000000003</v>
      </c>
      <c r="E43" s="26">
        <v>248.7</v>
      </c>
      <c r="F43" s="27">
        <v>11.2</v>
      </c>
      <c r="G43" s="24">
        <v>5.4</v>
      </c>
      <c r="H43" s="25">
        <v>1.8</v>
      </c>
      <c r="I43" s="11">
        <v>1544.8</v>
      </c>
      <c r="J43" s="58">
        <v>42.3</v>
      </c>
    </row>
    <row r="44" spans="1:12" ht="33" customHeight="1" x14ac:dyDescent="0.15">
      <c r="A44" s="45"/>
      <c r="B44" s="36" t="s">
        <v>20</v>
      </c>
      <c r="C44" s="24">
        <v>1315.2</v>
      </c>
      <c r="D44" s="25">
        <v>35.9</v>
      </c>
      <c r="E44" s="26">
        <v>245.9</v>
      </c>
      <c r="F44" s="27">
        <v>11</v>
      </c>
      <c r="G44" s="24">
        <v>5.2</v>
      </c>
      <c r="H44" s="25">
        <v>1.7</v>
      </c>
      <c r="I44" s="37">
        <v>1566.3</v>
      </c>
      <c r="J44" s="59">
        <v>42.9</v>
      </c>
    </row>
    <row r="45" spans="1:12" ht="33" customHeight="1" x14ac:dyDescent="0.15">
      <c r="A45" s="49">
        <v>2021</v>
      </c>
      <c r="B45" s="36" t="s">
        <v>15</v>
      </c>
      <c r="C45" s="24">
        <v>1318.1</v>
      </c>
      <c r="D45" s="25">
        <v>36.1</v>
      </c>
      <c r="E45" s="26">
        <v>242.1</v>
      </c>
      <c r="F45" s="27">
        <v>10.8</v>
      </c>
      <c r="G45" s="24">
        <v>4.9000000000000004</v>
      </c>
      <c r="H45" s="25">
        <v>1.7</v>
      </c>
      <c r="I45" s="37">
        <v>1565.2</v>
      </c>
      <c r="J45" s="59">
        <v>42.9</v>
      </c>
    </row>
    <row r="46" spans="1:12" ht="33" customHeight="1" x14ac:dyDescent="0.15">
      <c r="A46" s="49"/>
      <c r="B46" s="36" t="s">
        <v>16</v>
      </c>
      <c r="C46" s="24">
        <v>1348.3</v>
      </c>
      <c r="D46" s="25">
        <v>36.299999999999997</v>
      </c>
      <c r="E46" s="26">
        <v>238.8</v>
      </c>
      <c r="F46" s="27">
        <v>10.6</v>
      </c>
      <c r="G46" s="24">
        <v>4.7</v>
      </c>
      <c r="H46" s="25">
        <v>1.6</v>
      </c>
      <c r="I46" s="37">
        <v>1591.8</v>
      </c>
      <c r="J46" s="59">
        <v>42.9</v>
      </c>
    </row>
    <row r="47" spans="1:12" ht="33" customHeight="1" x14ac:dyDescent="0.15">
      <c r="A47" s="49"/>
      <c r="B47" s="36" t="s">
        <v>18</v>
      </c>
      <c r="C47" s="24">
        <v>1352.7</v>
      </c>
      <c r="D47" s="25">
        <v>36.299999999999997</v>
      </c>
      <c r="E47" s="26">
        <v>234.1</v>
      </c>
      <c r="F47" s="27">
        <v>10.3</v>
      </c>
      <c r="G47" s="24">
        <v>4.3</v>
      </c>
      <c r="H47" s="25">
        <v>1.6</v>
      </c>
      <c r="I47" s="37">
        <v>1591.1</v>
      </c>
      <c r="J47" s="59">
        <v>42.8</v>
      </c>
    </row>
    <row r="48" spans="1:12" ht="33" customHeight="1" x14ac:dyDescent="0.15">
      <c r="A48" s="49"/>
      <c r="B48" s="36" t="s">
        <v>20</v>
      </c>
      <c r="C48" s="24">
        <v>1375.9</v>
      </c>
      <c r="D48" s="25">
        <v>37</v>
      </c>
      <c r="E48" s="26">
        <v>230.4</v>
      </c>
      <c r="F48" s="27">
        <v>10.199999999999999</v>
      </c>
      <c r="G48" s="24">
        <v>4.4000000000000004</v>
      </c>
      <c r="H48" s="25">
        <v>1.5</v>
      </c>
      <c r="I48" s="37">
        <v>1610.7</v>
      </c>
      <c r="J48" s="59">
        <v>43.4</v>
      </c>
    </row>
    <row r="49" spans="1:10" ht="33" customHeight="1" x14ac:dyDescent="0.15">
      <c r="A49" s="50">
        <v>2022</v>
      </c>
      <c r="B49" s="36" t="s">
        <v>15</v>
      </c>
      <c r="C49" s="24">
        <v>1376.5</v>
      </c>
      <c r="D49" s="25">
        <v>37.200000000000003</v>
      </c>
      <c r="E49" s="26">
        <v>225.7</v>
      </c>
      <c r="F49" s="27">
        <v>9.9</v>
      </c>
      <c r="G49" s="24">
        <v>4.2</v>
      </c>
      <c r="H49" s="25">
        <v>1.5</v>
      </c>
      <c r="I49" s="37">
        <v>1606.4</v>
      </c>
      <c r="J49" s="59">
        <v>43.4</v>
      </c>
    </row>
    <row r="50" spans="1:10" ht="33" customHeight="1" x14ac:dyDescent="0.15">
      <c r="A50" s="51"/>
      <c r="B50" s="36" t="s">
        <v>16</v>
      </c>
      <c r="C50" s="24">
        <v>1396.2</v>
      </c>
      <c r="D50" s="25">
        <v>37.1</v>
      </c>
      <c r="E50" s="26">
        <v>219.3</v>
      </c>
      <c r="F50" s="27">
        <v>9.6</v>
      </c>
      <c r="G50" s="24">
        <v>4.2</v>
      </c>
      <c r="H50" s="25">
        <v>1.4</v>
      </c>
      <c r="I50" s="37">
        <v>1619.7</v>
      </c>
      <c r="J50" s="59">
        <v>43</v>
      </c>
    </row>
    <row r="51" spans="1:10" ht="33" customHeight="1" x14ac:dyDescent="0.15">
      <c r="A51" s="51"/>
      <c r="B51" s="36" t="s">
        <v>18</v>
      </c>
      <c r="C51" s="24">
        <v>1399.7</v>
      </c>
      <c r="D51" s="25">
        <v>37.1</v>
      </c>
      <c r="E51" s="26">
        <v>213.7</v>
      </c>
      <c r="F51" s="27">
        <v>9.4</v>
      </c>
      <c r="G51" s="24">
        <v>4</v>
      </c>
      <c r="H51" s="25">
        <v>1.3</v>
      </c>
      <c r="I51" s="37">
        <v>1617.3</v>
      </c>
      <c r="J51" s="59">
        <v>42.8</v>
      </c>
    </row>
    <row r="52" spans="1:10" ht="33" customHeight="1" x14ac:dyDescent="0.15">
      <c r="A52" s="52"/>
      <c r="B52" s="36" t="s">
        <v>20</v>
      </c>
      <c r="C52" s="24">
        <v>1422.8</v>
      </c>
      <c r="D52" s="25">
        <v>37.799999999999997</v>
      </c>
      <c r="E52" s="26">
        <v>207.8</v>
      </c>
      <c r="F52" s="27">
        <v>9.1999999999999993</v>
      </c>
      <c r="G52" s="24">
        <v>3.9</v>
      </c>
      <c r="H52" s="25">
        <v>1.3</v>
      </c>
      <c r="I52" s="37">
        <v>1634.5</v>
      </c>
      <c r="J52" s="59">
        <v>43.5</v>
      </c>
    </row>
    <row r="53" spans="1:10" ht="33" customHeight="1" x14ac:dyDescent="0.15">
      <c r="A53" s="43">
        <v>2023</v>
      </c>
      <c r="B53" s="36" t="s">
        <v>15</v>
      </c>
      <c r="C53" s="24">
        <v>1432.9</v>
      </c>
      <c r="D53" s="25">
        <v>38.299999999999997</v>
      </c>
      <c r="E53" s="26">
        <v>198.6</v>
      </c>
      <c r="F53" s="27">
        <v>8.8000000000000007</v>
      </c>
      <c r="G53" s="24">
        <v>3.8</v>
      </c>
      <c r="H53" s="25">
        <v>1.3</v>
      </c>
      <c r="I53" s="37">
        <v>1635.4</v>
      </c>
      <c r="J53" s="59">
        <v>43.8</v>
      </c>
    </row>
    <row r="54" spans="1:10" ht="33" customHeight="1" x14ac:dyDescent="0.15">
      <c r="A54" s="44"/>
      <c r="B54" s="36" t="s">
        <v>16</v>
      </c>
      <c r="C54" s="24">
        <v>1446</v>
      </c>
      <c r="D54" s="25">
        <v>38.299999999999997</v>
      </c>
      <c r="E54" s="26">
        <v>194.7</v>
      </c>
      <c r="F54" s="27">
        <v>8.6999999999999993</v>
      </c>
      <c r="G54" s="24">
        <v>3.7</v>
      </c>
      <c r="H54" s="25">
        <v>1.2</v>
      </c>
      <c r="I54" s="37">
        <v>1644.5</v>
      </c>
      <c r="J54" s="59">
        <v>43.6</v>
      </c>
    </row>
    <row r="55" spans="1:10" ht="33" customHeight="1" x14ac:dyDescent="0.15">
      <c r="A55" s="44"/>
      <c r="B55" s="36" t="s">
        <v>18</v>
      </c>
      <c r="C55" s="24">
        <v>1439.1</v>
      </c>
      <c r="D55" s="25">
        <v>38.200000000000003</v>
      </c>
      <c r="E55" s="26">
        <v>191</v>
      </c>
      <c r="F55" s="27">
        <v>8.5</v>
      </c>
      <c r="G55" s="24">
        <v>3.7</v>
      </c>
      <c r="H55" s="25">
        <v>1.2</v>
      </c>
      <c r="I55" s="37">
        <v>1633.8</v>
      </c>
      <c r="J55" s="59">
        <v>43.4</v>
      </c>
    </row>
    <row r="56" spans="1:10" ht="33" customHeight="1" x14ac:dyDescent="0.15">
      <c r="A56" s="45"/>
      <c r="B56" s="36" t="s">
        <v>20</v>
      </c>
      <c r="C56" s="24">
        <v>1413.3</v>
      </c>
      <c r="D56" s="25">
        <v>38.1</v>
      </c>
      <c r="E56" s="26">
        <v>185.4</v>
      </c>
      <c r="F56" s="27">
        <v>8.3000000000000007</v>
      </c>
      <c r="G56" s="24">
        <v>3.6</v>
      </c>
      <c r="H56" s="25">
        <v>1.2</v>
      </c>
      <c r="I56" s="37">
        <v>1602.2</v>
      </c>
      <c r="J56" s="59">
        <v>43.2</v>
      </c>
    </row>
    <row r="57" spans="1:10" ht="33" customHeight="1" x14ac:dyDescent="0.15">
      <c r="A57" s="43">
        <v>2024</v>
      </c>
      <c r="B57" s="36" t="s">
        <v>15</v>
      </c>
      <c r="C57" s="24">
        <v>1413.3</v>
      </c>
      <c r="D57" s="25">
        <v>38.1</v>
      </c>
      <c r="E57" s="26">
        <v>181.4</v>
      </c>
      <c r="F57" s="27">
        <v>8</v>
      </c>
      <c r="G57" s="24">
        <v>3.5</v>
      </c>
      <c r="H57" s="25">
        <v>1.1000000000000001</v>
      </c>
      <c r="I57" s="37">
        <v>1598.4</v>
      </c>
      <c r="J57" s="59">
        <v>43.1</v>
      </c>
    </row>
    <row r="58" spans="1:10" ht="33" customHeight="1" x14ac:dyDescent="0.15">
      <c r="A58" s="44"/>
      <c r="B58" s="36" t="s">
        <v>16</v>
      </c>
      <c r="C58" s="24">
        <v>1440.4</v>
      </c>
      <c r="D58" s="25">
        <v>37.9</v>
      </c>
      <c r="E58" s="26">
        <v>176.1</v>
      </c>
      <c r="F58" s="27">
        <v>7.8</v>
      </c>
      <c r="G58" s="24">
        <v>3.4</v>
      </c>
      <c r="H58" s="25">
        <v>1.1000000000000001</v>
      </c>
      <c r="I58" s="37">
        <v>1620.1</v>
      </c>
      <c r="J58" s="59">
        <v>42.8</v>
      </c>
    </row>
    <row r="59" spans="1:10" ht="33" customHeight="1" x14ac:dyDescent="0.15">
      <c r="A59" s="44"/>
      <c r="B59" s="36" t="s">
        <v>18</v>
      </c>
      <c r="C59" s="24">
        <v>1438.6</v>
      </c>
      <c r="D59" s="25">
        <v>37.5</v>
      </c>
      <c r="E59" s="26">
        <v>169</v>
      </c>
      <c r="F59" s="27">
        <v>7.5</v>
      </c>
      <c r="G59" s="24">
        <v>3.3</v>
      </c>
      <c r="H59" s="25">
        <v>1.1000000000000001</v>
      </c>
      <c r="I59" s="37">
        <v>1611</v>
      </c>
      <c r="J59" s="59">
        <v>42.2</v>
      </c>
    </row>
    <row r="60" spans="1:10" ht="33" customHeight="1" x14ac:dyDescent="0.15">
      <c r="A60" s="45"/>
      <c r="B60" s="36" t="s">
        <v>20</v>
      </c>
      <c r="C60" s="24">
        <v>1470.1</v>
      </c>
      <c r="D60" s="25">
        <v>38.200000000000003</v>
      </c>
      <c r="E60" s="26">
        <v>165.4</v>
      </c>
      <c r="F60" s="27">
        <v>7.3</v>
      </c>
      <c r="G60" s="24">
        <v>3.2</v>
      </c>
      <c r="H60" s="25">
        <v>1</v>
      </c>
      <c r="I60" s="37">
        <v>1638.6</v>
      </c>
      <c r="J60" s="59">
        <v>42.7</v>
      </c>
    </row>
    <row r="61" spans="1:10" ht="33" customHeight="1" x14ac:dyDescent="0.15">
      <c r="A61" s="49">
        <v>2025</v>
      </c>
      <c r="B61" s="36" t="s">
        <v>15</v>
      </c>
      <c r="C61" s="24">
        <v>1472.5846617654299</v>
      </c>
      <c r="D61" s="25">
        <v>38.333494999999999</v>
      </c>
      <c r="E61" s="26">
        <v>163.94125573052003</v>
      </c>
      <c r="F61" s="27">
        <v>7.173381</v>
      </c>
      <c r="G61" s="24">
        <v>3.1</v>
      </c>
      <c r="H61" s="25">
        <v>0.99448800000000004</v>
      </c>
      <c r="I61" s="37">
        <v>1639.63591749595</v>
      </c>
      <c r="J61" s="59">
        <v>42.790503999999999</v>
      </c>
    </row>
    <row r="62" spans="1:10" ht="33" customHeight="1" x14ac:dyDescent="0.15">
      <c r="A62" s="49"/>
      <c r="B62" s="36" t="s">
        <v>16</v>
      </c>
      <c r="C62" s="24">
        <v>1494.5</v>
      </c>
      <c r="D62" s="25">
        <v>38.200000000000003</v>
      </c>
      <c r="E62" s="26">
        <v>163.1</v>
      </c>
      <c r="F62" s="27">
        <v>7</v>
      </c>
      <c r="G62" s="24">
        <v>3</v>
      </c>
      <c r="H62" s="25">
        <v>1</v>
      </c>
      <c r="I62" s="37">
        <v>1660.7</v>
      </c>
      <c r="J62" s="59">
        <v>42.5</v>
      </c>
    </row>
    <row r="63" spans="1:10" ht="33" customHeight="1" x14ac:dyDescent="0.15">
      <c r="A63" s="43"/>
      <c r="B63" s="60" t="s">
        <v>18</v>
      </c>
      <c r="C63" s="61">
        <v>1500.8</v>
      </c>
      <c r="D63" s="62">
        <v>38</v>
      </c>
      <c r="E63" s="63">
        <v>161.9</v>
      </c>
      <c r="F63" s="64">
        <v>6.9</v>
      </c>
      <c r="G63" s="61">
        <v>2.9</v>
      </c>
      <c r="H63" s="62">
        <v>0.9</v>
      </c>
      <c r="I63" s="65">
        <v>1665.6</v>
      </c>
      <c r="J63" s="66">
        <v>42.3</v>
      </c>
    </row>
    <row r="65" spans="1:10" ht="14" x14ac:dyDescent="0.15">
      <c r="A65" s="105" t="s">
        <v>7</v>
      </c>
      <c r="B65" s="105"/>
      <c r="C65" s="105"/>
      <c r="D65" s="105"/>
      <c r="E65" s="105"/>
      <c r="F65" s="105"/>
      <c r="G65" s="105"/>
      <c r="H65" s="105"/>
      <c r="I65" s="105"/>
      <c r="J65" s="105"/>
    </row>
    <row r="66" spans="1:10" ht="14" x14ac:dyDescent="0.15">
      <c r="A66" s="103" t="s">
        <v>9</v>
      </c>
      <c r="B66" s="103"/>
      <c r="C66" s="103"/>
      <c r="D66" s="103"/>
      <c r="E66" s="103"/>
      <c r="F66" s="103"/>
      <c r="G66" s="103"/>
      <c r="H66" s="103"/>
      <c r="I66" s="103"/>
      <c r="J66" s="103"/>
    </row>
    <row r="67" spans="1:10" ht="29.75" customHeight="1" x14ac:dyDescent="0.15">
      <c r="A67" s="103" t="s">
        <v>19</v>
      </c>
      <c r="B67" s="103"/>
      <c r="C67" s="103"/>
      <c r="D67" s="103"/>
      <c r="E67" s="103"/>
      <c r="F67" s="103"/>
      <c r="G67" s="103"/>
      <c r="H67" s="103"/>
      <c r="I67" s="103"/>
      <c r="J67" s="103"/>
    </row>
    <row r="68" spans="1:10" ht="25" customHeight="1" x14ac:dyDescent="0.15">
      <c r="A68" s="104" t="s">
        <v>8</v>
      </c>
      <c r="B68" s="104"/>
      <c r="C68" s="104"/>
      <c r="D68" s="104"/>
      <c r="E68" s="104"/>
      <c r="F68" s="104"/>
      <c r="G68" s="104"/>
      <c r="H68" s="104"/>
      <c r="I68" s="104"/>
      <c r="J68" s="104"/>
    </row>
    <row r="69" spans="1:10" ht="14" x14ac:dyDescent="0.15">
      <c r="A69" s="104"/>
      <c r="B69" s="104"/>
      <c r="C69" s="104"/>
      <c r="D69" s="104"/>
      <c r="E69" s="104"/>
      <c r="F69" s="104"/>
      <c r="G69" s="104"/>
      <c r="H69" s="104"/>
      <c r="I69" s="104"/>
      <c r="J69" s="104"/>
    </row>
  </sheetData>
  <mergeCells count="8">
    <mergeCell ref="A1:J1"/>
    <mergeCell ref="A3:J3"/>
    <mergeCell ref="A2:J2"/>
    <mergeCell ref="A67:J67"/>
    <mergeCell ref="A69:J69"/>
    <mergeCell ref="A68:J68"/>
    <mergeCell ref="A65:J65"/>
    <mergeCell ref="A66:J66"/>
  </mergeCells>
  <phoneticPr fontId="14" type="noConversion"/>
  <pageMargins left="0.7" right="0.7" top="0.75" bottom="0.75" header="0.3" footer="0.3"/>
  <pageSetup scale="43"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EC2B-24B1-1E41-9E29-624ACFCAC5C7}">
  <sheetPr filterMode="1"/>
  <dimension ref="A1:F172"/>
  <sheetViews>
    <sheetView topLeftCell="A2" workbookViewId="0">
      <selection activeCell="B2" sqref="B2:D172"/>
    </sheetView>
  </sheetViews>
  <sheetFormatPr baseColWidth="10" defaultRowHeight="13" x14ac:dyDescent="0.15"/>
  <cols>
    <col min="2" max="3" width="10.83203125" style="93"/>
  </cols>
  <sheetData>
    <row r="1" spans="1:6" ht="17" x14ac:dyDescent="0.15">
      <c r="A1" s="67" t="s">
        <v>27</v>
      </c>
      <c r="B1" s="82" t="s">
        <v>28</v>
      </c>
      <c r="C1" s="82" t="s">
        <v>29</v>
      </c>
      <c r="D1" s="68" t="s">
        <v>30</v>
      </c>
      <c r="E1" s="68" t="s">
        <v>33</v>
      </c>
      <c r="F1" s="68" t="s">
        <v>34</v>
      </c>
    </row>
    <row r="2" spans="1:6" ht="16" x14ac:dyDescent="0.15">
      <c r="A2" s="69">
        <v>2007</v>
      </c>
      <c r="B2" s="83">
        <v>106.8</v>
      </c>
      <c r="C2" s="94">
        <v>7</v>
      </c>
      <c r="D2" s="68" t="s">
        <v>0</v>
      </c>
      <c r="E2">
        <f>IF(A2="",E1,A2)</f>
        <v>2007</v>
      </c>
      <c r="F2" t="str">
        <f>IF(OR(D2&lt;&gt;D3,E2&lt;&gt;E3),"Keep","")</f>
        <v>Keep</v>
      </c>
    </row>
    <row r="3" spans="1:6" ht="16" x14ac:dyDescent="0.15">
      <c r="A3" s="70">
        <v>2008</v>
      </c>
      <c r="B3" s="83">
        <v>122.5</v>
      </c>
      <c r="C3" s="83">
        <v>7.7</v>
      </c>
      <c r="D3" s="68" t="s">
        <v>0</v>
      </c>
      <c r="E3">
        <f t="shared" ref="E3:E66" si="0">IF(A3="",E2,A3)</f>
        <v>2008</v>
      </c>
      <c r="F3" t="str">
        <f t="shared" ref="F3:F66" si="1">IF(OR(D3&lt;&gt;D4,E3&lt;&gt;E4),"Keep","")</f>
        <v>Keep</v>
      </c>
    </row>
    <row r="4" spans="1:6" ht="16" x14ac:dyDescent="0.15">
      <c r="A4" s="69">
        <v>2009</v>
      </c>
      <c r="B4" s="83">
        <v>154.9</v>
      </c>
      <c r="C4" s="83">
        <v>9.1999999999999993</v>
      </c>
      <c r="D4" s="68" t="s">
        <v>0</v>
      </c>
      <c r="E4">
        <f t="shared" si="0"/>
        <v>2009</v>
      </c>
      <c r="F4" t="str">
        <f t="shared" si="1"/>
        <v>Keep</v>
      </c>
    </row>
    <row r="5" spans="1:6" ht="16" x14ac:dyDescent="0.15">
      <c r="A5" s="70">
        <v>2010</v>
      </c>
      <c r="B5" s="84">
        <v>224.5</v>
      </c>
      <c r="C5" s="83">
        <v>14.4</v>
      </c>
      <c r="D5" s="68" t="s">
        <v>0</v>
      </c>
      <c r="E5">
        <f t="shared" si="0"/>
        <v>2010</v>
      </c>
      <c r="F5" t="str">
        <f t="shared" si="1"/>
        <v>Keep</v>
      </c>
    </row>
    <row r="6" spans="1:6" ht="16" x14ac:dyDescent="0.15">
      <c r="A6" s="69">
        <v>2011</v>
      </c>
      <c r="B6" s="84">
        <v>350.1</v>
      </c>
      <c r="C6" s="83">
        <v>19.399999999999999</v>
      </c>
      <c r="D6" s="68" t="s">
        <v>0</v>
      </c>
      <c r="E6">
        <f t="shared" si="0"/>
        <v>2011</v>
      </c>
      <c r="F6" t="str">
        <f t="shared" si="1"/>
        <v>Keep</v>
      </c>
    </row>
    <row r="7" spans="1:6" ht="16" x14ac:dyDescent="0.15">
      <c r="A7" s="71">
        <v>2012</v>
      </c>
      <c r="B7" s="85">
        <v>488.3</v>
      </c>
      <c r="C7" s="83">
        <v>22.8</v>
      </c>
      <c r="D7" s="68" t="s">
        <v>0</v>
      </c>
      <c r="E7">
        <f t="shared" si="0"/>
        <v>2012</v>
      </c>
      <c r="F7" t="str">
        <f t="shared" si="1"/>
        <v>Keep</v>
      </c>
    </row>
    <row r="8" spans="1:6" ht="16" hidden="1" x14ac:dyDescent="0.15">
      <c r="A8" s="72">
        <v>2013</v>
      </c>
      <c r="B8" s="85">
        <v>508.7</v>
      </c>
      <c r="C8" s="83">
        <v>23.4</v>
      </c>
      <c r="D8" s="68" t="s">
        <v>0</v>
      </c>
      <c r="E8">
        <f t="shared" si="0"/>
        <v>2013</v>
      </c>
      <c r="F8" t="str">
        <f t="shared" si="1"/>
        <v/>
      </c>
    </row>
    <row r="9" spans="1:6" ht="16" hidden="1" x14ac:dyDescent="0.15">
      <c r="A9" s="73"/>
      <c r="B9" s="85">
        <v>553</v>
      </c>
      <c r="C9" s="83">
        <v>24.1</v>
      </c>
      <c r="D9" s="68" t="s">
        <v>0</v>
      </c>
      <c r="E9">
        <f t="shared" si="0"/>
        <v>2013</v>
      </c>
      <c r="F9" t="str">
        <f t="shared" si="1"/>
        <v/>
      </c>
    </row>
    <row r="10" spans="1:6" ht="16" hidden="1" x14ac:dyDescent="0.15">
      <c r="A10" s="74"/>
      <c r="B10" s="85">
        <v>569.20000000000005</v>
      </c>
      <c r="C10" s="83">
        <v>24.3</v>
      </c>
      <c r="D10" s="68" t="s">
        <v>0</v>
      </c>
      <c r="E10">
        <f t="shared" si="0"/>
        <v>2013</v>
      </c>
      <c r="F10" t="str">
        <f t="shared" si="1"/>
        <v/>
      </c>
    </row>
    <row r="11" spans="1:6" ht="16" x14ac:dyDescent="0.15">
      <c r="A11" s="75"/>
      <c r="B11" s="85">
        <v>609.1</v>
      </c>
      <c r="C11" s="83">
        <v>25.6</v>
      </c>
      <c r="D11" s="68" t="s">
        <v>0</v>
      </c>
      <c r="E11">
        <f t="shared" si="0"/>
        <v>2013</v>
      </c>
      <c r="F11" t="str">
        <f t="shared" si="1"/>
        <v>Keep</v>
      </c>
    </row>
    <row r="12" spans="1:6" ht="16" hidden="1" x14ac:dyDescent="0.15">
      <c r="A12" s="72">
        <v>2014</v>
      </c>
      <c r="B12" s="85">
        <v>626.5</v>
      </c>
      <c r="C12" s="83">
        <v>26.2</v>
      </c>
      <c r="D12" s="68" t="s">
        <v>0</v>
      </c>
      <c r="E12">
        <f t="shared" si="0"/>
        <v>2014</v>
      </c>
      <c r="F12" t="str">
        <f t="shared" si="1"/>
        <v/>
      </c>
    </row>
    <row r="13" spans="1:6" ht="16" hidden="1" x14ac:dyDescent="0.15">
      <c r="A13" s="73"/>
      <c r="B13" s="85">
        <v>669</v>
      </c>
      <c r="C13" s="83">
        <v>26.5</v>
      </c>
      <c r="D13" s="68" t="s">
        <v>0</v>
      </c>
      <c r="E13">
        <f t="shared" si="0"/>
        <v>2014</v>
      </c>
      <c r="F13" t="str">
        <f t="shared" si="1"/>
        <v/>
      </c>
    </row>
    <row r="14" spans="1:6" ht="16" hidden="1" x14ac:dyDescent="0.15">
      <c r="A14" s="74"/>
      <c r="B14" s="85">
        <v>685.7</v>
      </c>
      <c r="C14" s="83">
        <v>26.7</v>
      </c>
      <c r="D14" s="68" t="s">
        <v>0</v>
      </c>
      <c r="E14">
        <f t="shared" si="0"/>
        <v>2014</v>
      </c>
      <c r="F14" t="str">
        <f t="shared" si="1"/>
        <v/>
      </c>
    </row>
    <row r="15" spans="1:6" ht="16" x14ac:dyDescent="0.15">
      <c r="A15" s="75"/>
      <c r="B15" s="85">
        <v>726.6</v>
      </c>
      <c r="C15" s="83">
        <v>27.9</v>
      </c>
      <c r="D15" s="68" t="s">
        <v>0</v>
      </c>
      <c r="E15">
        <f t="shared" si="0"/>
        <v>2014</v>
      </c>
      <c r="F15" t="str">
        <f t="shared" si="1"/>
        <v>Keep</v>
      </c>
    </row>
    <row r="16" spans="1:6" ht="16" hidden="1" x14ac:dyDescent="0.15">
      <c r="A16" s="72">
        <v>2015</v>
      </c>
      <c r="B16" s="85">
        <v>744.3</v>
      </c>
      <c r="C16" s="83">
        <v>28.5</v>
      </c>
      <c r="D16" s="68" t="s">
        <v>0</v>
      </c>
      <c r="E16">
        <f t="shared" si="0"/>
        <v>2015</v>
      </c>
      <c r="F16" t="str">
        <f t="shared" si="1"/>
        <v/>
      </c>
    </row>
    <row r="17" spans="1:6" ht="16" hidden="1" x14ac:dyDescent="0.15">
      <c r="A17" s="73"/>
      <c r="B17" s="85">
        <v>787</v>
      </c>
      <c r="C17" s="83">
        <v>28.7</v>
      </c>
      <c r="D17" s="68" t="s">
        <v>0</v>
      </c>
      <c r="E17">
        <f t="shared" si="0"/>
        <v>2015</v>
      </c>
      <c r="F17" t="str">
        <f t="shared" si="1"/>
        <v/>
      </c>
    </row>
    <row r="18" spans="1:6" ht="16" hidden="1" x14ac:dyDescent="0.15">
      <c r="A18" s="74"/>
      <c r="B18" s="85">
        <v>803.1</v>
      </c>
      <c r="C18" s="83">
        <v>28.8</v>
      </c>
      <c r="D18" s="68" t="s">
        <v>0</v>
      </c>
      <c r="E18">
        <f t="shared" si="0"/>
        <v>2015</v>
      </c>
      <c r="F18" t="str">
        <f t="shared" si="1"/>
        <v/>
      </c>
    </row>
    <row r="19" spans="1:6" ht="16" x14ac:dyDescent="0.15">
      <c r="A19" s="75"/>
      <c r="B19" s="85">
        <v>840.7</v>
      </c>
      <c r="C19" s="83">
        <v>29.9</v>
      </c>
      <c r="D19" s="68" t="s">
        <v>0</v>
      </c>
      <c r="E19">
        <f t="shared" si="0"/>
        <v>2015</v>
      </c>
      <c r="F19" t="str">
        <f t="shared" si="1"/>
        <v>Keep</v>
      </c>
    </row>
    <row r="20" spans="1:6" ht="16" hidden="1" x14ac:dyDescent="0.15">
      <c r="A20" s="72">
        <v>2016</v>
      </c>
      <c r="B20" s="85">
        <v>854.8</v>
      </c>
      <c r="C20" s="83">
        <v>30.3</v>
      </c>
      <c r="D20" s="68" t="s">
        <v>0</v>
      </c>
      <c r="E20">
        <f t="shared" si="0"/>
        <v>2016</v>
      </c>
      <c r="F20" t="str">
        <f t="shared" si="1"/>
        <v/>
      </c>
    </row>
    <row r="21" spans="1:6" ht="16" hidden="1" x14ac:dyDescent="0.15">
      <c r="A21" s="73"/>
      <c r="B21" s="85">
        <v>896.6</v>
      </c>
      <c r="C21" s="83">
        <v>30.5</v>
      </c>
      <c r="D21" s="68" t="s">
        <v>0</v>
      </c>
      <c r="E21">
        <f t="shared" si="0"/>
        <v>2016</v>
      </c>
      <c r="F21" t="str">
        <f t="shared" si="1"/>
        <v/>
      </c>
    </row>
    <row r="22" spans="1:6" ht="16" hidden="1" x14ac:dyDescent="0.15">
      <c r="A22" s="74"/>
      <c r="B22" s="85">
        <v>911.6</v>
      </c>
      <c r="C22" s="83">
        <v>30.5</v>
      </c>
      <c r="D22" s="68" t="s">
        <v>0</v>
      </c>
      <c r="E22">
        <f t="shared" si="0"/>
        <v>2016</v>
      </c>
      <c r="F22" t="str">
        <f t="shared" si="1"/>
        <v/>
      </c>
    </row>
    <row r="23" spans="1:6" ht="16" x14ac:dyDescent="0.15">
      <c r="A23" s="75"/>
      <c r="B23" s="85">
        <v>949.1</v>
      </c>
      <c r="C23" s="83">
        <v>31.5</v>
      </c>
      <c r="D23" s="68" t="s">
        <v>0</v>
      </c>
      <c r="E23">
        <f t="shared" si="0"/>
        <v>2016</v>
      </c>
      <c r="F23" t="str">
        <f t="shared" si="1"/>
        <v>Keep</v>
      </c>
    </row>
    <row r="24" spans="1:6" ht="16" hidden="1" x14ac:dyDescent="0.15">
      <c r="A24" s="72">
        <v>2017</v>
      </c>
      <c r="B24" s="85">
        <v>963.5</v>
      </c>
      <c r="C24" s="83">
        <v>31.9</v>
      </c>
      <c r="D24" s="68" t="s">
        <v>0</v>
      </c>
      <c r="E24">
        <f t="shared" si="0"/>
        <v>2017</v>
      </c>
      <c r="F24" t="str">
        <f t="shared" si="1"/>
        <v/>
      </c>
    </row>
    <row r="25" spans="1:6" ht="16" hidden="1" x14ac:dyDescent="0.15">
      <c r="A25" s="73"/>
      <c r="B25" s="85">
        <v>1003.3</v>
      </c>
      <c r="C25" s="83">
        <v>32.1</v>
      </c>
      <c r="D25" s="68" t="s">
        <v>0</v>
      </c>
      <c r="E25">
        <f t="shared" si="0"/>
        <v>2017</v>
      </c>
      <c r="F25" t="str">
        <f t="shared" si="1"/>
        <v/>
      </c>
    </row>
    <row r="26" spans="1:6" ht="16" hidden="1" x14ac:dyDescent="0.15">
      <c r="A26" s="74"/>
      <c r="B26" s="85">
        <v>1017</v>
      </c>
      <c r="C26" s="83">
        <v>32</v>
      </c>
      <c r="D26" s="68" t="s">
        <v>0</v>
      </c>
      <c r="E26">
        <f t="shared" si="0"/>
        <v>2017</v>
      </c>
      <c r="F26" t="str">
        <f t="shared" si="1"/>
        <v/>
      </c>
    </row>
    <row r="27" spans="1:6" ht="16" x14ac:dyDescent="0.15">
      <c r="A27" s="75"/>
      <c r="B27" s="85">
        <v>1053.5</v>
      </c>
      <c r="C27" s="83">
        <v>33</v>
      </c>
      <c r="D27" s="68" t="s">
        <v>0</v>
      </c>
      <c r="E27">
        <f t="shared" si="0"/>
        <v>2017</v>
      </c>
      <c r="F27" t="str">
        <f t="shared" si="1"/>
        <v>Keep</v>
      </c>
    </row>
    <row r="28" spans="1:6" ht="16" hidden="1" x14ac:dyDescent="0.15">
      <c r="A28" s="72">
        <v>2018</v>
      </c>
      <c r="B28" s="85">
        <v>1066.8</v>
      </c>
      <c r="C28" s="83">
        <v>33.299999999999997</v>
      </c>
      <c r="D28" s="68" t="s">
        <v>0</v>
      </c>
      <c r="E28">
        <f t="shared" si="0"/>
        <v>2018</v>
      </c>
      <c r="F28" t="str">
        <f t="shared" si="1"/>
        <v/>
      </c>
    </row>
    <row r="29" spans="1:6" ht="16" hidden="1" x14ac:dyDescent="0.15">
      <c r="A29" s="73"/>
      <c r="B29" s="85">
        <v>1104</v>
      </c>
      <c r="C29" s="83">
        <v>33.4</v>
      </c>
      <c r="D29" s="68" t="s">
        <v>0</v>
      </c>
      <c r="E29">
        <f t="shared" si="0"/>
        <v>2018</v>
      </c>
      <c r="F29" t="str">
        <f t="shared" si="1"/>
        <v/>
      </c>
    </row>
    <row r="30" spans="1:6" ht="16" hidden="1" x14ac:dyDescent="0.15">
      <c r="A30" s="74"/>
      <c r="B30" s="85">
        <v>1116</v>
      </c>
      <c r="C30" s="83">
        <v>33.299999999999997</v>
      </c>
      <c r="D30" s="68" t="s">
        <v>0</v>
      </c>
      <c r="E30">
        <f t="shared" si="0"/>
        <v>2018</v>
      </c>
      <c r="F30" t="str">
        <f t="shared" si="1"/>
        <v/>
      </c>
    </row>
    <row r="31" spans="1:6" ht="16" x14ac:dyDescent="0.15">
      <c r="A31" s="75"/>
      <c r="B31" s="85">
        <v>1150.3</v>
      </c>
      <c r="C31" s="83">
        <v>34.200000000000003</v>
      </c>
      <c r="D31" s="68" t="s">
        <v>0</v>
      </c>
      <c r="E31">
        <f t="shared" si="0"/>
        <v>2018</v>
      </c>
      <c r="F31" t="str">
        <f t="shared" si="1"/>
        <v>Keep</v>
      </c>
    </row>
    <row r="32" spans="1:6" ht="16" hidden="1" x14ac:dyDescent="0.15">
      <c r="A32" s="76">
        <v>2019</v>
      </c>
      <c r="B32" s="85">
        <v>1163.3</v>
      </c>
      <c r="C32" s="83">
        <v>34.5</v>
      </c>
      <c r="D32" s="68" t="s">
        <v>0</v>
      </c>
      <c r="E32">
        <f t="shared" si="0"/>
        <v>2019</v>
      </c>
      <c r="F32" t="str">
        <f t="shared" si="1"/>
        <v/>
      </c>
    </row>
    <row r="33" spans="1:6" ht="16" hidden="1" x14ac:dyDescent="0.15">
      <c r="A33" s="77"/>
      <c r="B33" s="85">
        <v>1198.4000000000001</v>
      </c>
      <c r="C33" s="83">
        <v>34.5</v>
      </c>
      <c r="D33" s="68" t="s">
        <v>0</v>
      </c>
      <c r="E33">
        <f t="shared" si="0"/>
        <v>2019</v>
      </c>
      <c r="F33" t="str">
        <f t="shared" si="1"/>
        <v/>
      </c>
    </row>
    <row r="34" spans="1:6" ht="16" hidden="1" x14ac:dyDescent="0.15">
      <c r="A34" s="76"/>
      <c r="B34" s="85">
        <v>1208.8</v>
      </c>
      <c r="C34" s="83">
        <v>34.299999999999997</v>
      </c>
      <c r="D34" s="68" t="s">
        <v>0</v>
      </c>
      <c r="E34">
        <f t="shared" si="0"/>
        <v>2019</v>
      </c>
      <c r="F34" t="str">
        <f t="shared" si="1"/>
        <v/>
      </c>
    </row>
    <row r="35" spans="1:6" ht="16" x14ac:dyDescent="0.15">
      <c r="A35" s="77"/>
      <c r="B35" s="85">
        <v>1242.5999999999999</v>
      </c>
      <c r="C35" s="83">
        <v>35.1</v>
      </c>
      <c r="D35" s="68" t="s">
        <v>0</v>
      </c>
      <c r="E35">
        <f t="shared" si="0"/>
        <v>2019</v>
      </c>
      <c r="F35" t="str">
        <f t="shared" si="1"/>
        <v>Keep</v>
      </c>
    </row>
    <row r="36" spans="1:6" ht="16" hidden="1" x14ac:dyDescent="0.15">
      <c r="A36" s="72">
        <v>2020</v>
      </c>
      <c r="B36" s="85">
        <v>1251.9000000000001</v>
      </c>
      <c r="C36" s="83">
        <v>35.299999999999997</v>
      </c>
      <c r="D36" s="68" t="s">
        <v>0</v>
      </c>
      <c r="E36">
        <f t="shared" si="0"/>
        <v>2020</v>
      </c>
      <c r="F36" t="str">
        <f t="shared" si="1"/>
        <v/>
      </c>
    </row>
    <row r="37" spans="1:6" ht="16" hidden="1" x14ac:dyDescent="0.15">
      <c r="A37" s="73"/>
      <c r="B37" s="86">
        <v>1284.7</v>
      </c>
      <c r="C37" s="95">
        <v>35.299999999999997</v>
      </c>
      <c r="D37" s="68" t="s">
        <v>0</v>
      </c>
      <c r="E37">
        <f t="shared" si="0"/>
        <v>2020</v>
      </c>
      <c r="F37" t="str">
        <f t="shared" si="1"/>
        <v/>
      </c>
    </row>
    <row r="38" spans="1:6" ht="16" hidden="1" x14ac:dyDescent="0.15">
      <c r="A38" s="74"/>
      <c r="B38" s="87">
        <v>1290.5999999999999</v>
      </c>
      <c r="C38" s="94">
        <v>35.200000000000003</v>
      </c>
      <c r="D38" s="68" t="s">
        <v>0</v>
      </c>
      <c r="E38">
        <f t="shared" si="0"/>
        <v>2020</v>
      </c>
      <c r="F38" t="str">
        <f t="shared" si="1"/>
        <v/>
      </c>
    </row>
    <row r="39" spans="1:6" ht="16" x14ac:dyDescent="0.15">
      <c r="A39" s="75"/>
      <c r="B39" s="87">
        <v>1315.2</v>
      </c>
      <c r="C39" s="94">
        <v>35.9</v>
      </c>
      <c r="D39" s="68" t="s">
        <v>0</v>
      </c>
      <c r="E39">
        <f t="shared" si="0"/>
        <v>2020</v>
      </c>
      <c r="F39" t="str">
        <f t="shared" si="1"/>
        <v>Keep</v>
      </c>
    </row>
    <row r="40" spans="1:6" ht="16" hidden="1" x14ac:dyDescent="0.15">
      <c r="A40" s="76">
        <v>2021</v>
      </c>
      <c r="B40" s="87">
        <v>1318.1</v>
      </c>
      <c r="C40" s="94">
        <v>36.1</v>
      </c>
      <c r="D40" s="68" t="s">
        <v>0</v>
      </c>
      <c r="E40">
        <f t="shared" si="0"/>
        <v>2021</v>
      </c>
      <c r="F40" t="str">
        <f t="shared" si="1"/>
        <v/>
      </c>
    </row>
    <row r="41" spans="1:6" ht="16" hidden="1" x14ac:dyDescent="0.15">
      <c r="A41" s="77"/>
      <c r="B41" s="87">
        <v>1348.3</v>
      </c>
      <c r="C41" s="94">
        <v>36.299999999999997</v>
      </c>
      <c r="D41" s="68" t="s">
        <v>0</v>
      </c>
      <c r="E41">
        <f t="shared" si="0"/>
        <v>2021</v>
      </c>
      <c r="F41" t="str">
        <f t="shared" si="1"/>
        <v/>
      </c>
    </row>
    <row r="42" spans="1:6" ht="16" hidden="1" x14ac:dyDescent="0.15">
      <c r="A42" s="76"/>
      <c r="B42" s="87">
        <v>1352.7</v>
      </c>
      <c r="C42" s="94">
        <v>36.299999999999997</v>
      </c>
      <c r="D42" s="68" t="s">
        <v>0</v>
      </c>
      <c r="E42">
        <f t="shared" si="0"/>
        <v>2021</v>
      </c>
      <c r="F42" t="str">
        <f t="shared" si="1"/>
        <v/>
      </c>
    </row>
    <row r="43" spans="1:6" ht="16" x14ac:dyDescent="0.15">
      <c r="A43" s="77"/>
      <c r="B43" s="87">
        <v>1375.9</v>
      </c>
      <c r="C43" s="94">
        <v>37</v>
      </c>
      <c r="D43" s="68" t="s">
        <v>0</v>
      </c>
      <c r="E43">
        <f t="shared" si="0"/>
        <v>2021</v>
      </c>
      <c r="F43" t="str">
        <f t="shared" si="1"/>
        <v>Keep</v>
      </c>
    </row>
    <row r="44" spans="1:6" ht="16" hidden="1" x14ac:dyDescent="0.15">
      <c r="A44" s="78">
        <v>2022</v>
      </c>
      <c r="B44" s="87">
        <v>1376.5</v>
      </c>
      <c r="C44" s="94">
        <v>37.200000000000003</v>
      </c>
      <c r="D44" s="68" t="s">
        <v>0</v>
      </c>
      <c r="E44">
        <f t="shared" si="0"/>
        <v>2022</v>
      </c>
      <c r="F44" t="str">
        <f t="shared" si="1"/>
        <v/>
      </c>
    </row>
    <row r="45" spans="1:6" ht="16" hidden="1" x14ac:dyDescent="0.15">
      <c r="A45" s="79"/>
      <c r="B45" s="87">
        <v>1396.2</v>
      </c>
      <c r="C45" s="94">
        <v>37.1</v>
      </c>
      <c r="D45" s="68" t="s">
        <v>0</v>
      </c>
      <c r="E45">
        <f t="shared" si="0"/>
        <v>2022</v>
      </c>
      <c r="F45" t="str">
        <f t="shared" si="1"/>
        <v/>
      </c>
    </row>
    <row r="46" spans="1:6" ht="16" hidden="1" x14ac:dyDescent="0.15">
      <c r="A46" s="80"/>
      <c r="B46" s="87">
        <v>1399.7</v>
      </c>
      <c r="C46" s="94">
        <v>37.1</v>
      </c>
      <c r="D46" s="68" t="s">
        <v>0</v>
      </c>
      <c r="E46">
        <f t="shared" si="0"/>
        <v>2022</v>
      </c>
      <c r="F46" t="str">
        <f t="shared" si="1"/>
        <v/>
      </c>
    </row>
    <row r="47" spans="1:6" ht="16" x14ac:dyDescent="0.15">
      <c r="A47" s="81"/>
      <c r="B47" s="87">
        <v>1422.8</v>
      </c>
      <c r="C47" s="94">
        <v>37.799999999999997</v>
      </c>
      <c r="D47" s="68" t="s">
        <v>0</v>
      </c>
      <c r="E47">
        <f t="shared" si="0"/>
        <v>2022</v>
      </c>
      <c r="F47" t="str">
        <f t="shared" si="1"/>
        <v>Keep</v>
      </c>
    </row>
    <row r="48" spans="1:6" ht="16" hidden="1" x14ac:dyDescent="0.15">
      <c r="A48" s="72">
        <v>2023</v>
      </c>
      <c r="B48" s="87">
        <v>1432.9</v>
      </c>
      <c r="C48" s="94">
        <v>38.299999999999997</v>
      </c>
      <c r="D48" s="68" t="s">
        <v>0</v>
      </c>
      <c r="E48">
        <f t="shared" si="0"/>
        <v>2023</v>
      </c>
      <c r="F48" t="str">
        <f t="shared" si="1"/>
        <v/>
      </c>
    </row>
    <row r="49" spans="1:6" ht="16" hidden="1" x14ac:dyDescent="0.15">
      <c r="A49" s="73"/>
      <c r="B49" s="87">
        <v>1446</v>
      </c>
      <c r="C49" s="94">
        <v>38.299999999999997</v>
      </c>
      <c r="D49" s="68" t="s">
        <v>0</v>
      </c>
      <c r="E49">
        <f t="shared" si="0"/>
        <v>2023</v>
      </c>
      <c r="F49" t="str">
        <f t="shared" si="1"/>
        <v/>
      </c>
    </row>
    <row r="50" spans="1:6" ht="16" hidden="1" x14ac:dyDescent="0.15">
      <c r="A50" s="74"/>
      <c r="B50" s="87">
        <v>1439.1</v>
      </c>
      <c r="C50" s="94">
        <v>38.200000000000003</v>
      </c>
      <c r="D50" s="68" t="s">
        <v>0</v>
      </c>
      <c r="E50">
        <f t="shared" si="0"/>
        <v>2023</v>
      </c>
      <c r="F50" t="str">
        <f t="shared" si="1"/>
        <v/>
      </c>
    </row>
    <row r="51" spans="1:6" ht="16" x14ac:dyDescent="0.15">
      <c r="A51" s="75"/>
      <c r="B51" s="87">
        <v>1413.3</v>
      </c>
      <c r="C51" s="94">
        <v>38.1</v>
      </c>
      <c r="D51" s="68" t="s">
        <v>0</v>
      </c>
      <c r="E51">
        <f t="shared" si="0"/>
        <v>2023</v>
      </c>
      <c r="F51" t="str">
        <f t="shared" si="1"/>
        <v>Keep</v>
      </c>
    </row>
    <row r="52" spans="1:6" ht="16" hidden="1" x14ac:dyDescent="0.15">
      <c r="A52" s="72">
        <v>2024</v>
      </c>
      <c r="B52" s="87">
        <v>1413.3</v>
      </c>
      <c r="C52" s="94">
        <v>38.1</v>
      </c>
      <c r="D52" s="68" t="s">
        <v>0</v>
      </c>
      <c r="E52">
        <f t="shared" si="0"/>
        <v>2024</v>
      </c>
      <c r="F52" t="str">
        <f t="shared" si="1"/>
        <v/>
      </c>
    </row>
    <row r="53" spans="1:6" ht="16" hidden="1" x14ac:dyDescent="0.15">
      <c r="A53" s="73"/>
      <c r="B53" s="87">
        <v>1440.4</v>
      </c>
      <c r="C53" s="94">
        <v>37.9</v>
      </c>
      <c r="D53" s="68" t="s">
        <v>0</v>
      </c>
      <c r="E53">
        <f t="shared" si="0"/>
        <v>2024</v>
      </c>
      <c r="F53" t="str">
        <f t="shared" si="1"/>
        <v/>
      </c>
    </row>
    <row r="54" spans="1:6" ht="16" hidden="1" x14ac:dyDescent="0.15">
      <c r="A54" s="74"/>
      <c r="B54" s="87">
        <v>1438.6</v>
      </c>
      <c r="C54" s="94">
        <v>37.5</v>
      </c>
      <c r="D54" s="68" t="s">
        <v>0</v>
      </c>
      <c r="E54">
        <f t="shared" si="0"/>
        <v>2024</v>
      </c>
      <c r="F54" t="str">
        <f t="shared" si="1"/>
        <v/>
      </c>
    </row>
    <row r="55" spans="1:6" ht="16" x14ac:dyDescent="0.15">
      <c r="A55" s="75"/>
      <c r="B55" s="87">
        <v>1470.1</v>
      </c>
      <c r="C55" s="94">
        <v>38.200000000000003</v>
      </c>
      <c r="D55" s="68" t="s">
        <v>0</v>
      </c>
      <c r="E55">
        <f t="shared" si="0"/>
        <v>2024</v>
      </c>
      <c r="F55" t="str">
        <f t="shared" si="1"/>
        <v>Keep</v>
      </c>
    </row>
    <row r="56" spans="1:6" ht="16" hidden="1" x14ac:dyDescent="0.15">
      <c r="A56" s="76">
        <v>2025</v>
      </c>
      <c r="B56" s="87">
        <v>1472.5846617654299</v>
      </c>
      <c r="C56" s="94">
        <v>38.333494999999999</v>
      </c>
      <c r="D56" s="68" t="s">
        <v>0</v>
      </c>
      <c r="E56">
        <f t="shared" si="0"/>
        <v>2025</v>
      </c>
      <c r="F56" t="str">
        <f t="shared" si="1"/>
        <v/>
      </c>
    </row>
    <row r="57" spans="1:6" ht="16" hidden="1" x14ac:dyDescent="0.15">
      <c r="A57" s="77"/>
      <c r="B57" s="87">
        <v>1494.5</v>
      </c>
      <c r="C57" s="94">
        <v>38.200000000000003</v>
      </c>
      <c r="D57" s="68" t="s">
        <v>0</v>
      </c>
      <c r="E57">
        <f t="shared" si="0"/>
        <v>2025</v>
      </c>
      <c r="F57" t="str">
        <f t="shared" si="1"/>
        <v/>
      </c>
    </row>
    <row r="58" spans="1:6" ht="16" x14ac:dyDescent="0.15">
      <c r="A58" s="76"/>
      <c r="B58" s="87">
        <v>1500.8</v>
      </c>
      <c r="C58" s="94">
        <v>38</v>
      </c>
      <c r="D58" s="68" t="s">
        <v>0</v>
      </c>
      <c r="E58">
        <f t="shared" si="0"/>
        <v>2025</v>
      </c>
      <c r="F58" t="str">
        <f t="shared" si="1"/>
        <v>Keep</v>
      </c>
    </row>
    <row r="59" spans="1:6" ht="16" x14ac:dyDescent="0.15">
      <c r="A59" s="69">
        <v>2007</v>
      </c>
      <c r="B59" s="88">
        <v>401.9</v>
      </c>
      <c r="C59" s="96">
        <v>22.6</v>
      </c>
      <c r="D59" s="68" t="s">
        <v>31</v>
      </c>
      <c r="E59">
        <f t="shared" si="0"/>
        <v>2007</v>
      </c>
      <c r="F59" t="str">
        <f t="shared" si="1"/>
        <v>Keep</v>
      </c>
    </row>
    <row r="60" spans="1:6" ht="16" x14ac:dyDescent="0.15">
      <c r="A60" s="70">
        <v>2008</v>
      </c>
      <c r="B60" s="89">
        <v>446.5</v>
      </c>
      <c r="C60" s="96">
        <v>23.7</v>
      </c>
      <c r="D60" s="68" t="s">
        <v>31</v>
      </c>
      <c r="E60">
        <f t="shared" si="0"/>
        <v>2008</v>
      </c>
      <c r="F60" t="str">
        <f t="shared" si="1"/>
        <v>Keep</v>
      </c>
    </row>
    <row r="61" spans="1:6" ht="16" x14ac:dyDescent="0.15">
      <c r="A61" s="69">
        <v>2009</v>
      </c>
      <c r="B61" s="89">
        <v>493.3</v>
      </c>
      <c r="C61" s="96">
        <v>25</v>
      </c>
      <c r="D61" s="68" t="s">
        <v>31</v>
      </c>
      <c r="E61">
        <f t="shared" si="0"/>
        <v>2009</v>
      </c>
      <c r="F61" t="str">
        <f t="shared" si="1"/>
        <v>Keep</v>
      </c>
    </row>
    <row r="62" spans="1:6" ht="16" x14ac:dyDescent="0.15">
      <c r="A62" s="70">
        <v>2010</v>
      </c>
      <c r="B62" s="89">
        <v>516.70000000000005</v>
      </c>
      <c r="C62" s="96">
        <v>25.1</v>
      </c>
      <c r="D62" s="68" t="s">
        <v>31</v>
      </c>
      <c r="E62">
        <f t="shared" si="0"/>
        <v>2010</v>
      </c>
      <c r="F62" t="str">
        <f t="shared" si="1"/>
        <v>Keep</v>
      </c>
    </row>
    <row r="63" spans="1:6" ht="16" x14ac:dyDescent="0.15">
      <c r="A63" s="69">
        <v>2011</v>
      </c>
      <c r="B63" s="89">
        <v>489.8</v>
      </c>
      <c r="C63" s="96">
        <v>23.8</v>
      </c>
      <c r="D63" s="68" t="s">
        <v>31</v>
      </c>
      <c r="E63">
        <f t="shared" si="0"/>
        <v>2011</v>
      </c>
      <c r="F63" t="str">
        <f t="shared" si="1"/>
        <v>Keep</v>
      </c>
    </row>
    <row r="64" spans="1:6" ht="16" x14ac:dyDescent="0.15">
      <c r="A64" s="71">
        <v>2012</v>
      </c>
      <c r="B64" s="89">
        <v>451.7</v>
      </c>
      <c r="C64" s="88">
        <v>22.4</v>
      </c>
      <c r="D64" s="68" t="s">
        <v>31</v>
      </c>
      <c r="E64">
        <f t="shared" si="0"/>
        <v>2012</v>
      </c>
      <c r="F64" t="str">
        <f t="shared" si="1"/>
        <v>Keep</v>
      </c>
    </row>
    <row r="65" spans="1:6" ht="16" hidden="1" x14ac:dyDescent="0.15">
      <c r="A65" s="72">
        <v>2013</v>
      </c>
      <c r="B65" s="89">
        <v>444.9</v>
      </c>
      <c r="C65" s="88">
        <v>22.1</v>
      </c>
      <c r="D65" s="68" t="s">
        <v>31</v>
      </c>
      <c r="E65">
        <f t="shared" si="0"/>
        <v>2013</v>
      </c>
      <c r="F65" t="str">
        <f t="shared" si="1"/>
        <v/>
      </c>
    </row>
    <row r="66" spans="1:6" ht="16" hidden="1" x14ac:dyDescent="0.15">
      <c r="A66" s="73"/>
      <c r="B66" s="89">
        <v>437</v>
      </c>
      <c r="C66" s="88">
        <v>21.6</v>
      </c>
      <c r="D66" s="68" t="s">
        <v>31</v>
      </c>
      <c r="E66">
        <f t="shared" si="0"/>
        <v>2013</v>
      </c>
      <c r="F66" t="str">
        <f t="shared" si="1"/>
        <v/>
      </c>
    </row>
    <row r="67" spans="1:6" ht="16" hidden="1" x14ac:dyDescent="0.15">
      <c r="A67" s="74"/>
      <c r="B67" s="89">
        <v>429.5</v>
      </c>
      <c r="C67" s="88">
        <v>21.2</v>
      </c>
      <c r="D67" s="68" t="s">
        <v>31</v>
      </c>
      <c r="E67">
        <f t="shared" ref="E67:E130" si="2">IF(A67="",E66,A67)</f>
        <v>2013</v>
      </c>
      <c r="F67" t="str">
        <f t="shared" ref="F67:F130" si="3">IF(OR(D67&lt;&gt;D68,E67&lt;&gt;E68),"Keep","")</f>
        <v/>
      </c>
    </row>
    <row r="68" spans="1:6" ht="16" x14ac:dyDescent="0.15">
      <c r="A68" s="75"/>
      <c r="B68" s="89">
        <v>423</v>
      </c>
      <c r="C68" s="88">
        <v>20.9</v>
      </c>
      <c r="D68" s="68" t="s">
        <v>31</v>
      </c>
      <c r="E68">
        <f t="shared" si="2"/>
        <v>2013</v>
      </c>
      <c r="F68" t="str">
        <f t="shared" si="3"/>
        <v>Keep</v>
      </c>
    </row>
    <row r="69" spans="1:6" ht="16" hidden="1" x14ac:dyDescent="0.15">
      <c r="A69" s="72">
        <v>2014</v>
      </c>
      <c r="B69" s="89">
        <v>417.1</v>
      </c>
      <c r="C69" s="88">
        <v>20.6</v>
      </c>
      <c r="D69" s="68" t="s">
        <v>31</v>
      </c>
      <c r="E69">
        <f t="shared" si="2"/>
        <v>2014</v>
      </c>
      <c r="F69" t="str">
        <f t="shared" si="3"/>
        <v/>
      </c>
    </row>
    <row r="70" spans="1:6" ht="16" hidden="1" x14ac:dyDescent="0.15">
      <c r="A70" s="73"/>
      <c r="B70" s="89">
        <v>409.7</v>
      </c>
      <c r="C70" s="88">
        <v>20.2</v>
      </c>
      <c r="D70" s="68" t="s">
        <v>31</v>
      </c>
      <c r="E70">
        <f t="shared" si="2"/>
        <v>2014</v>
      </c>
      <c r="F70" t="str">
        <f t="shared" si="3"/>
        <v/>
      </c>
    </row>
    <row r="71" spans="1:6" ht="16" hidden="1" x14ac:dyDescent="0.15">
      <c r="A71" s="74"/>
      <c r="B71" s="89">
        <v>402.5</v>
      </c>
      <c r="C71" s="88">
        <v>19.8</v>
      </c>
      <c r="D71" s="68" t="s">
        <v>31</v>
      </c>
      <c r="E71">
        <f t="shared" si="2"/>
        <v>2014</v>
      </c>
      <c r="F71" t="str">
        <f t="shared" si="3"/>
        <v/>
      </c>
    </row>
    <row r="72" spans="1:6" ht="16" x14ac:dyDescent="0.15">
      <c r="A72" s="75"/>
      <c r="B72" s="89">
        <v>395</v>
      </c>
      <c r="C72" s="88">
        <v>19.399999999999999</v>
      </c>
      <c r="D72" s="68" t="s">
        <v>31</v>
      </c>
      <c r="E72">
        <f t="shared" si="2"/>
        <v>2014</v>
      </c>
      <c r="F72" t="str">
        <f t="shared" si="3"/>
        <v>Keep</v>
      </c>
    </row>
    <row r="73" spans="1:6" ht="16" hidden="1" x14ac:dyDescent="0.15">
      <c r="A73" s="72">
        <v>2015</v>
      </c>
      <c r="B73" s="89">
        <v>387.6</v>
      </c>
      <c r="C73" s="88">
        <v>19.100000000000001</v>
      </c>
      <c r="D73" s="68" t="s">
        <v>31</v>
      </c>
      <c r="E73">
        <f t="shared" si="2"/>
        <v>2015</v>
      </c>
      <c r="F73" t="str">
        <f t="shared" si="3"/>
        <v/>
      </c>
    </row>
    <row r="74" spans="1:6" ht="16" hidden="1" x14ac:dyDescent="0.15">
      <c r="A74" s="73"/>
      <c r="B74" s="89">
        <v>379.1</v>
      </c>
      <c r="C74" s="88">
        <v>18.600000000000001</v>
      </c>
      <c r="D74" s="68" t="s">
        <v>31</v>
      </c>
      <c r="E74">
        <f t="shared" si="2"/>
        <v>2015</v>
      </c>
      <c r="F74" t="str">
        <f t="shared" si="3"/>
        <v/>
      </c>
    </row>
    <row r="75" spans="1:6" ht="16" hidden="1" x14ac:dyDescent="0.15">
      <c r="A75" s="74"/>
      <c r="B75" s="89">
        <v>370.9</v>
      </c>
      <c r="C75" s="88">
        <v>18.2</v>
      </c>
      <c r="D75" s="68" t="s">
        <v>31</v>
      </c>
      <c r="E75">
        <f t="shared" si="2"/>
        <v>2015</v>
      </c>
      <c r="F75" t="str">
        <f t="shared" si="3"/>
        <v/>
      </c>
    </row>
    <row r="76" spans="1:6" ht="16" x14ac:dyDescent="0.15">
      <c r="A76" s="75"/>
      <c r="B76" s="89">
        <v>363.6</v>
      </c>
      <c r="C76" s="88">
        <v>17.899999999999999</v>
      </c>
      <c r="D76" s="68" t="s">
        <v>31</v>
      </c>
      <c r="E76">
        <f t="shared" si="2"/>
        <v>2015</v>
      </c>
      <c r="F76" t="str">
        <f t="shared" si="3"/>
        <v>Keep</v>
      </c>
    </row>
    <row r="77" spans="1:6" ht="16" hidden="1" x14ac:dyDescent="0.15">
      <c r="A77" s="72">
        <v>2016</v>
      </c>
      <c r="B77" s="89">
        <v>357.3</v>
      </c>
      <c r="C77" s="88">
        <v>17.5</v>
      </c>
      <c r="D77" s="68" t="s">
        <v>31</v>
      </c>
      <c r="E77">
        <f t="shared" si="2"/>
        <v>2016</v>
      </c>
      <c r="F77" t="str">
        <f t="shared" si="3"/>
        <v/>
      </c>
    </row>
    <row r="78" spans="1:6" ht="16" hidden="1" x14ac:dyDescent="0.15">
      <c r="A78" s="73"/>
      <c r="B78" s="89">
        <v>350.2</v>
      </c>
      <c r="C78" s="88">
        <v>17.2</v>
      </c>
      <c r="D78" s="68" t="s">
        <v>31</v>
      </c>
      <c r="E78">
        <f t="shared" si="2"/>
        <v>2016</v>
      </c>
      <c r="F78" t="str">
        <f t="shared" si="3"/>
        <v/>
      </c>
    </row>
    <row r="79" spans="1:6" ht="16" hidden="1" x14ac:dyDescent="0.15">
      <c r="A79" s="74"/>
      <c r="B79" s="89">
        <v>342.6</v>
      </c>
      <c r="C79" s="88">
        <v>16.8</v>
      </c>
      <c r="D79" s="68" t="s">
        <v>31</v>
      </c>
      <c r="E79">
        <f t="shared" si="2"/>
        <v>2016</v>
      </c>
      <c r="F79" t="str">
        <f t="shared" si="3"/>
        <v/>
      </c>
    </row>
    <row r="80" spans="1:6" ht="16" x14ac:dyDescent="0.15">
      <c r="A80" s="75"/>
      <c r="B80" s="89">
        <v>335.2</v>
      </c>
      <c r="C80" s="88">
        <v>16.399999999999999</v>
      </c>
      <c r="D80" s="68" t="s">
        <v>31</v>
      </c>
      <c r="E80">
        <f t="shared" si="2"/>
        <v>2016</v>
      </c>
      <c r="F80" t="str">
        <f t="shared" si="3"/>
        <v>Keep</v>
      </c>
    </row>
    <row r="81" spans="1:6" ht="16" hidden="1" x14ac:dyDescent="0.15">
      <c r="A81" s="72">
        <v>2017</v>
      </c>
      <c r="B81" s="89">
        <v>328.3</v>
      </c>
      <c r="C81" s="88">
        <v>16.100000000000001</v>
      </c>
      <c r="D81" s="68" t="s">
        <v>31</v>
      </c>
      <c r="E81">
        <f t="shared" si="2"/>
        <v>2017</v>
      </c>
      <c r="F81" t="str">
        <f t="shared" si="3"/>
        <v/>
      </c>
    </row>
    <row r="82" spans="1:6" ht="16" hidden="1" x14ac:dyDescent="0.15">
      <c r="A82" s="73"/>
      <c r="B82" s="89">
        <v>320.5</v>
      </c>
      <c r="C82" s="88">
        <v>15.7</v>
      </c>
      <c r="D82" s="68" t="s">
        <v>31</v>
      </c>
      <c r="E82">
        <f t="shared" si="2"/>
        <v>2017</v>
      </c>
      <c r="F82" t="str">
        <f t="shared" si="3"/>
        <v/>
      </c>
    </row>
    <row r="83" spans="1:6" ht="16" hidden="1" x14ac:dyDescent="0.15">
      <c r="A83" s="74"/>
      <c r="B83" s="89">
        <v>312.60000000000002</v>
      </c>
      <c r="C83" s="88">
        <v>15.2</v>
      </c>
      <c r="D83" s="68" t="s">
        <v>31</v>
      </c>
      <c r="E83">
        <f t="shared" si="2"/>
        <v>2017</v>
      </c>
      <c r="F83" t="str">
        <f t="shared" si="3"/>
        <v/>
      </c>
    </row>
    <row r="84" spans="1:6" ht="16" x14ac:dyDescent="0.15">
      <c r="A84" s="75"/>
      <c r="B84" s="89">
        <v>305.8</v>
      </c>
      <c r="C84" s="88">
        <v>14.9</v>
      </c>
      <c r="D84" s="68" t="s">
        <v>31</v>
      </c>
      <c r="E84">
        <f t="shared" si="2"/>
        <v>2017</v>
      </c>
      <c r="F84" t="str">
        <f t="shared" si="3"/>
        <v>Keep</v>
      </c>
    </row>
    <row r="85" spans="1:6" ht="16" hidden="1" x14ac:dyDescent="0.15">
      <c r="A85" s="72">
        <v>2018</v>
      </c>
      <c r="B85" s="89">
        <v>301.10000000000002</v>
      </c>
      <c r="C85" s="88">
        <v>14.5</v>
      </c>
      <c r="D85" s="68" t="s">
        <v>31</v>
      </c>
      <c r="E85">
        <f t="shared" si="2"/>
        <v>2018</v>
      </c>
      <c r="F85" t="str">
        <f t="shared" si="3"/>
        <v/>
      </c>
    </row>
    <row r="86" spans="1:6" ht="16" hidden="1" x14ac:dyDescent="0.15">
      <c r="A86" s="73"/>
      <c r="B86" s="89">
        <v>295.5</v>
      </c>
      <c r="C86" s="88">
        <v>14.2</v>
      </c>
      <c r="D86" s="68" t="s">
        <v>31</v>
      </c>
      <c r="E86">
        <f t="shared" si="2"/>
        <v>2018</v>
      </c>
      <c r="F86" t="str">
        <f t="shared" si="3"/>
        <v/>
      </c>
    </row>
    <row r="87" spans="1:6" ht="16" hidden="1" x14ac:dyDescent="0.15">
      <c r="A87" s="74"/>
      <c r="B87" s="89">
        <v>288.60000000000002</v>
      </c>
      <c r="C87" s="88">
        <v>13.8</v>
      </c>
      <c r="D87" s="68" t="s">
        <v>31</v>
      </c>
      <c r="E87">
        <f t="shared" si="2"/>
        <v>2018</v>
      </c>
      <c r="F87" t="str">
        <f t="shared" si="3"/>
        <v/>
      </c>
    </row>
    <row r="88" spans="1:6" ht="16" x14ac:dyDescent="0.15">
      <c r="A88" s="75"/>
      <c r="B88" s="89">
        <v>281.8</v>
      </c>
      <c r="C88" s="88">
        <v>13.5</v>
      </c>
      <c r="D88" s="68" t="s">
        <v>31</v>
      </c>
      <c r="E88">
        <f t="shared" si="2"/>
        <v>2018</v>
      </c>
      <c r="F88" t="str">
        <f t="shared" si="3"/>
        <v>Keep</v>
      </c>
    </row>
    <row r="89" spans="1:6" ht="16" hidden="1" x14ac:dyDescent="0.15">
      <c r="A89" s="76">
        <v>2019</v>
      </c>
      <c r="B89" s="89">
        <v>277</v>
      </c>
      <c r="C89" s="88">
        <v>13.1</v>
      </c>
      <c r="D89" s="68" t="s">
        <v>31</v>
      </c>
      <c r="E89">
        <f t="shared" si="2"/>
        <v>2019</v>
      </c>
      <c r="F89" t="str">
        <f t="shared" si="3"/>
        <v/>
      </c>
    </row>
    <row r="90" spans="1:6" ht="16" hidden="1" x14ac:dyDescent="0.15">
      <c r="A90" s="77"/>
      <c r="B90" s="89">
        <v>271.60000000000002</v>
      </c>
      <c r="C90" s="88">
        <v>12.8</v>
      </c>
      <c r="D90" s="68" t="s">
        <v>31</v>
      </c>
      <c r="E90">
        <f t="shared" si="2"/>
        <v>2019</v>
      </c>
      <c r="F90" t="str">
        <f t="shared" si="3"/>
        <v/>
      </c>
    </row>
    <row r="91" spans="1:6" ht="16" hidden="1" x14ac:dyDescent="0.15">
      <c r="A91" s="76"/>
      <c r="B91" s="89">
        <v>266</v>
      </c>
      <c r="C91" s="88">
        <v>12.4</v>
      </c>
      <c r="D91" s="68" t="s">
        <v>31</v>
      </c>
      <c r="E91">
        <f t="shared" si="2"/>
        <v>2019</v>
      </c>
      <c r="F91" t="str">
        <f t="shared" si="3"/>
        <v/>
      </c>
    </row>
    <row r="92" spans="1:6" ht="16" x14ac:dyDescent="0.15">
      <c r="A92" s="77"/>
      <c r="B92" s="89">
        <v>261.60000000000002</v>
      </c>
      <c r="C92" s="88">
        <v>12.1</v>
      </c>
      <c r="D92" s="68" t="s">
        <v>31</v>
      </c>
      <c r="E92">
        <f t="shared" si="2"/>
        <v>2019</v>
      </c>
      <c r="F92" t="str">
        <f t="shared" si="3"/>
        <v>Keep</v>
      </c>
    </row>
    <row r="93" spans="1:6" ht="16" hidden="1" x14ac:dyDescent="0.15">
      <c r="A93" s="72">
        <v>2020</v>
      </c>
      <c r="B93" s="89">
        <v>257.2</v>
      </c>
      <c r="C93" s="88">
        <v>11.8</v>
      </c>
      <c r="D93" s="68" t="s">
        <v>31</v>
      </c>
      <c r="E93">
        <f t="shared" si="2"/>
        <v>2020</v>
      </c>
      <c r="F93" t="str">
        <f t="shared" si="3"/>
        <v/>
      </c>
    </row>
    <row r="94" spans="1:6" ht="16" hidden="1" x14ac:dyDescent="0.15">
      <c r="A94" s="73"/>
      <c r="B94" s="90">
        <v>252.4</v>
      </c>
      <c r="C94" s="97">
        <v>11.5</v>
      </c>
      <c r="D94" s="68" t="s">
        <v>31</v>
      </c>
      <c r="E94">
        <f t="shared" si="2"/>
        <v>2020</v>
      </c>
      <c r="F94" t="str">
        <f t="shared" si="3"/>
        <v/>
      </c>
    </row>
    <row r="95" spans="1:6" ht="16" hidden="1" x14ac:dyDescent="0.15">
      <c r="A95" s="74"/>
      <c r="B95" s="91">
        <v>248.7</v>
      </c>
      <c r="C95" s="98">
        <v>11.2</v>
      </c>
      <c r="D95" s="68" t="s">
        <v>31</v>
      </c>
      <c r="E95">
        <f t="shared" si="2"/>
        <v>2020</v>
      </c>
      <c r="F95" t="str">
        <f t="shared" si="3"/>
        <v/>
      </c>
    </row>
    <row r="96" spans="1:6" ht="16" x14ac:dyDescent="0.15">
      <c r="A96" s="75"/>
      <c r="B96" s="92">
        <v>245.9</v>
      </c>
      <c r="C96" s="99">
        <v>11</v>
      </c>
      <c r="D96" s="68" t="s">
        <v>31</v>
      </c>
      <c r="E96">
        <f t="shared" si="2"/>
        <v>2020</v>
      </c>
      <c r="F96" t="str">
        <f t="shared" si="3"/>
        <v>Keep</v>
      </c>
    </row>
    <row r="97" spans="1:6" ht="16" hidden="1" x14ac:dyDescent="0.15">
      <c r="A97" s="76">
        <v>2021</v>
      </c>
      <c r="B97" s="91">
        <v>242.1</v>
      </c>
      <c r="C97" s="98">
        <v>10.8</v>
      </c>
      <c r="D97" s="68" t="s">
        <v>31</v>
      </c>
      <c r="E97">
        <f t="shared" si="2"/>
        <v>2021</v>
      </c>
      <c r="F97" t="str">
        <f t="shared" si="3"/>
        <v/>
      </c>
    </row>
    <row r="98" spans="1:6" ht="16" hidden="1" x14ac:dyDescent="0.15">
      <c r="A98" s="77"/>
      <c r="B98" s="92">
        <v>238.8</v>
      </c>
      <c r="C98" s="99">
        <v>10.6</v>
      </c>
      <c r="D98" s="68" t="s">
        <v>31</v>
      </c>
      <c r="E98">
        <f t="shared" si="2"/>
        <v>2021</v>
      </c>
      <c r="F98" t="str">
        <f t="shared" si="3"/>
        <v/>
      </c>
    </row>
    <row r="99" spans="1:6" ht="16" hidden="1" x14ac:dyDescent="0.15">
      <c r="A99" s="76"/>
      <c r="B99" s="91">
        <v>234.1</v>
      </c>
      <c r="C99" s="98">
        <v>10.3</v>
      </c>
      <c r="D99" s="68" t="s">
        <v>31</v>
      </c>
      <c r="E99">
        <f t="shared" si="2"/>
        <v>2021</v>
      </c>
      <c r="F99" t="str">
        <f t="shared" si="3"/>
        <v/>
      </c>
    </row>
    <row r="100" spans="1:6" ht="16" x14ac:dyDescent="0.15">
      <c r="A100" s="77"/>
      <c r="B100" s="92">
        <v>230.4</v>
      </c>
      <c r="C100" s="99">
        <v>10.199999999999999</v>
      </c>
      <c r="D100" s="68" t="s">
        <v>31</v>
      </c>
      <c r="E100">
        <f t="shared" si="2"/>
        <v>2021</v>
      </c>
      <c r="F100" t="str">
        <f t="shared" si="3"/>
        <v>Keep</v>
      </c>
    </row>
    <row r="101" spans="1:6" ht="16" hidden="1" x14ac:dyDescent="0.15">
      <c r="A101" s="78">
        <v>2022</v>
      </c>
      <c r="B101" s="91">
        <v>225.7</v>
      </c>
      <c r="C101" s="98">
        <v>9.9</v>
      </c>
      <c r="D101" s="68" t="s">
        <v>31</v>
      </c>
      <c r="E101">
        <f t="shared" si="2"/>
        <v>2022</v>
      </c>
      <c r="F101" t="str">
        <f t="shared" si="3"/>
        <v/>
      </c>
    </row>
    <row r="102" spans="1:6" ht="16" hidden="1" x14ac:dyDescent="0.15">
      <c r="A102" s="79"/>
      <c r="B102" s="92">
        <v>219.3</v>
      </c>
      <c r="C102" s="99">
        <v>9.6</v>
      </c>
      <c r="D102" s="68" t="s">
        <v>31</v>
      </c>
      <c r="E102">
        <f t="shared" si="2"/>
        <v>2022</v>
      </c>
      <c r="F102" t="str">
        <f t="shared" si="3"/>
        <v/>
      </c>
    </row>
    <row r="103" spans="1:6" ht="16" hidden="1" x14ac:dyDescent="0.15">
      <c r="A103" s="80"/>
      <c r="B103" s="91">
        <v>213.7</v>
      </c>
      <c r="C103" s="98">
        <v>9.4</v>
      </c>
      <c r="D103" s="68" t="s">
        <v>31</v>
      </c>
      <c r="E103">
        <f t="shared" si="2"/>
        <v>2022</v>
      </c>
      <c r="F103" t="str">
        <f t="shared" si="3"/>
        <v/>
      </c>
    </row>
    <row r="104" spans="1:6" ht="16" x14ac:dyDescent="0.15">
      <c r="A104" s="81"/>
      <c r="B104" s="92">
        <v>207.8</v>
      </c>
      <c r="C104" s="99">
        <v>9.1999999999999993</v>
      </c>
      <c r="D104" s="68" t="s">
        <v>31</v>
      </c>
      <c r="E104">
        <f t="shared" si="2"/>
        <v>2022</v>
      </c>
      <c r="F104" t="str">
        <f t="shared" si="3"/>
        <v>Keep</v>
      </c>
    </row>
    <row r="105" spans="1:6" ht="16" hidden="1" x14ac:dyDescent="0.15">
      <c r="A105" s="72">
        <v>2023</v>
      </c>
      <c r="B105" s="91">
        <v>198.6</v>
      </c>
      <c r="C105" s="98">
        <v>8.8000000000000007</v>
      </c>
      <c r="D105" s="68" t="s">
        <v>31</v>
      </c>
      <c r="E105">
        <f t="shared" si="2"/>
        <v>2023</v>
      </c>
      <c r="F105" t="str">
        <f t="shared" si="3"/>
        <v/>
      </c>
    </row>
    <row r="106" spans="1:6" ht="16" hidden="1" x14ac:dyDescent="0.15">
      <c r="A106" s="73"/>
      <c r="B106" s="92">
        <v>194.7</v>
      </c>
      <c r="C106" s="99">
        <v>8.6999999999999993</v>
      </c>
      <c r="D106" s="68" t="s">
        <v>31</v>
      </c>
      <c r="E106">
        <f t="shared" si="2"/>
        <v>2023</v>
      </c>
      <c r="F106" t="str">
        <f t="shared" si="3"/>
        <v/>
      </c>
    </row>
    <row r="107" spans="1:6" ht="16" hidden="1" x14ac:dyDescent="0.15">
      <c r="A107" s="74"/>
      <c r="B107" s="91">
        <v>191</v>
      </c>
      <c r="C107" s="98">
        <v>8.5</v>
      </c>
      <c r="D107" s="68" t="s">
        <v>31</v>
      </c>
      <c r="E107">
        <f t="shared" si="2"/>
        <v>2023</v>
      </c>
      <c r="F107" t="str">
        <f t="shared" si="3"/>
        <v/>
      </c>
    </row>
    <row r="108" spans="1:6" ht="16" x14ac:dyDescent="0.15">
      <c r="A108" s="75"/>
      <c r="B108" s="92">
        <v>185.4</v>
      </c>
      <c r="C108" s="99">
        <v>8.3000000000000007</v>
      </c>
      <c r="D108" s="68" t="s">
        <v>31</v>
      </c>
      <c r="E108">
        <f t="shared" si="2"/>
        <v>2023</v>
      </c>
      <c r="F108" t="str">
        <f t="shared" si="3"/>
        <v>Keep</v>
      </c>
    </row>
    <row r="109" spans="1:6" ht="16" hidden="1" x14ac:dyDescent="0.15">
      <c r="A109" s="72">
        <v>2024</v>
      </c>
      <c r="B109" s="91">
        <v>181.4</v>
      </c>
      <c r="C109" s="98">
        <v>8</v>
      </c>
      <c r="D109" s="68" t="s">
        <v>31</v>
      </c>
      <c r="E109">
        <f t="shared" si="2"/>
        <v>2024</v>
      </c>
      <c r="F109" t="str">
        <f t="shared" si="3"/>
        <v/>
      </c>
    </row>
    <row r="110" spans="1:6" ht="16" hidden="1" x14ac:dyDescent="0.15">
      <c r="A110" s="73"/>
      <c r="B110" s="92">
        <v>176.1</v>
      </c>
      <c r="C110" s="99">
        <v>7.8</v>
      </c>
      <c r="D110" s="68" t="s">
        <v>31</v>
      </c>
      <c r="E110">
        <f t="shared" si="2"/>
        <v>2024</v>
      </c>
      <c r="F110" t="str">
        <f t="shared" si="3"/>
        <v/>
      </c>
    </row>
    <row r="111" spans="1:6" ht="16" hidden="1" x14ac:dyDescent="0.15">
      <c r="A111" s="74"/>
      <c r="B111" s="91">
        <v>169</v>
      </c>
      <c r="C111" s="98">
        <v>7.5</v>
      </c>
      <c r="D111" s="68" t="s">
        <v>31</v>
      </c>
      <c r="E111">
        <f t="shared" si="2"/>
        <v>2024</v>
      </c>
      <c r="F111" t="str">
        <f t="shared" si="3"/>
        <v/>
      </c>
    </row>
    <row r="112" spans="1:6" ht="16" x14ac:dyDescent="0.15">
      <c r="A112" s="75"/>
      <c r="B112" s="92">
        <v>165.4</v>
      </c>
      <c r="C112" s="99">
        <v>7.3</v>
      </c>
      <c r="D112" s="68" t="s">
        <v>31</v>
      </c>
      <c r="E112">
        <f t="shared" si="2"/>
        <v>2024</v>
      </c>
      <c r="F112" t="str">
        <f t="shared" si="3"/>
        <v>Keep</v>
      </c>
    </row>
    <row r="113" spans="1:6" ht="16" hidden="1" x14ac:dyDescent="0.15">
      <c r="A113" s="76">
        <v>2025</v>
      </c>
      <c r="B113" s="91">
        <v>163.94125573052003</v>
      </c>
      <c r="C113" s="98">
        <v>7.173381</v>
      </c>
      <c r="D113" s="68" t="s">
        <v>31</v>
      </c>
      <c r="E113">
        <f t="shared" si="2"/>
        <v>2025</v>
      </c>
      <c r="F113" t="str">
        <f t="shared" si="3"/>
        <v/>
      </c>
    </row>
    <row r="114" spans="1:6" ht="16" hidden="1" x14ac:dyDescent="0.15">
      <c r="A114" s="77"/>
      <c r="B114" s="92">
        <v>163.1</v>
      </c>
      <c r="C114" s="99">
        <v>7</v>
      </c>
      <c r="D114" s="68" t="s">
        <v>31</v>
      </c>
      <c r="E114">
        <f t="shared" si="2"/>
        <v>2025</v>
      </c>
      <c r="F114" t="str">
        <f t="shared" si="3"/>
        <v/>
      </c>
    </row>
    <row r="115" spans="1:6" ht="16" x14ac:dyDescent="0.15">
      <c r="A115" s="76"/>
      <c r="B115" s="91">
        <v>161.9</v>
      </c>
      <c r="C115" s="98">
        <v>6.9</v>
      </c>
      <c r="D115" s="68" t="s">
        <v>31</v>
      </c>
      <c r="E115">
        <f t="shared" si="2"/>
        <v>2025</v>
      </c>
      <c r="F115" t="str">
        <f t="shared" si="3"/>
        <v>Keep</v>
      </c>
    </row>
    <row r="116" spans="1:6" ht="16" x14ac:dyDescent="0.15">
      <c r="A116" s="69">
        <v>2007</v>
      </c>
      <c r="B116" s="85">
        <v>8.1999999999999993</v>
      </c>
      <c r="C116" s="94">
        <v>2.8</v>
      </c>
      <c r="D116" s="68" t="s">
        <v>32</v>
      </c>
      <c r="E116">
        <f t="shared" si="2"/>
        <v>2007</v>
      </c>
      <c r="F116" t="str">
        <f t="shared" si="3"/>
        <v>Keep</v>
      </c>
    </row>
    <row r="117" spans="1:6" ht="16" x14ac:dyDescent="0.15">
      <c r="A117" s="70">
        <v>2008</v>
      </c>
      <c r="B117" s="84">
        <v>8.5</v>
      </c>
      <c r="C117" s="85">
        <v>2.9</v>
      </c>
      <c r="D117" s="68" t="s">
        <v>32</v>
      </c>
      <c r="E117">
        <f t="shared" si="2"/>
        <v>2008</v>
      </c>
      <c r="F117" t="str">
        <f t="shared" si="3"/>
        <v>Keep</v>
      </c>
    </row>
    <row r="118" spans="1:6" ht="16" x14ac:dyDescent="0.15">
      <c r="A118" s="69">
        <v>2009</v>
      </c>
      <c r="B118" s="84">
        <v>8.6999999999999993</v>
      </c>
      <c r="C118" s="85">
        <v>3</v>
      </c>
      <c r="D118" s="68" t="s">
        <v>32</v>
      </c>
      <c r="E118">
        <f t="shared" si="2"/>
        <v>2009</v>
      </c>
      <c r="F118" t="str">
        <f t="shared" si="3"/>
        <v>Keep</v>
      </c>
    </row>
    <row r="119" spans="1:6" ht="16" x14ac:dyDescent="0.15">
      <c r="A119" s="70">
        <v>2010</v>
      </c>
      <c r="B119" s="84">
        <v>8.4</v>
      </c>
      <c r="C119" s="85">
        <v>2.9</v>
      </c>
      <c r="D119" s="68" t="s">
        <v>32</v>
      </c>
      <c r="E119">
        <f t="shared" si="2"/>
        <v>2010</v>
      </c>
      <c r="F119" t="str">
        <f t="shared" si="3"/>
        <v>Keep</v>
      </c>
    </row>
    <row r="120" spans="1:6" ht="16" x14ac:dyDescent="0.15">
      <c r="A120" s="69">
        <v>2011</v>
      </c>
      <c r="B120" s="84">
        <v>8.3000000000000007</v>
      </c>
      <c r="C120" s="85">
        <v>2.9</v>
      </c>
      <c r="D120" s="68" t="s">
        <v>32</v>
      </c>
      <c r="E120">
        <f t="shared" si="2"/>
        <v>2011</v>
      </c>
      <c r="F120" t="str">
        <f t="shared" si="3"/>
        <v>Keep</v>
      </c>
    </row>
    <row r="121" spans="1:6" ht="16" x14ac:dyDescent="0.15">
      <c r="A121" s="71">
        <v>2012</v>
      </c>
      <c r="B121" s="85">
        <v>8.1999999999999993</v>
      </c>
      <c r="C121" s="85">
        <v>2.9</v>
      </c>
      <c r="D121" s="68" t="s">
        <v>32</v>
      </c>
      <c r="E121">
        <f t="shared" si="2"/>
        <v>2012</v>
      </c>
      <c r="F121" t="str">
        <f t="shared" si="3"/>
        <v>Keep</v>
      </c>
    </row>
    <row r="122" spans="1:6" ht="16" hidden="1" x14ac:dyDescent="0.15">
      <c r="A122" s="72">
        <v>2013</v>
      </c>
      <c r="B122" s="85">
        <v>8.1999999999999993</v>
      </c>
      <c r="C122" s="85">
        <v>3</v>
      </c>
      <c r="D122" s="68" t="s">
        <v>32</v>
      </c>
      <c r="E122">
        <f t="shared" si="2"/>
        <v>2013</v>
      </c>
      <c r="F122" t="str">
        <f t="shared" si="3"/>
        <v/>
      </c>
    </row>
    <row r="123" spans="1:6" ht="16" hidden="1" x14ac:dyDescent="0.15">
      <c r="A123" s="73"/>
      <c r="B123" s="85">
        <v>8.3000000000000007</v>
      </c>
      <c r="C123" s="85">
        <v>3</v>
      </c>
      <c r="D123" s="68" t="s">
        <v>32</v>
      </c>
      <c r="E123">
        <f t="shared" si="2"/>
        <v>2013</v>
      </c>
      <c r="F123" t="str">
        <f t="shared" si="3"/>
        <v/>
      </c>
    </row>
    <row r="124" spans="1:6" ht="16" hidden="1" x14ac:dyDescent="0.15">
      <c r="A124" s="74"/>
      <c r="B124" s="85">
        <v>8.1999999999999993</v>
      </c>
      <c r="C124" s="85">
        <v>2.9</v>
      </c>
      <c r="D124" s="68" t="s">
        <v>32</v>
      </c>
      <c r="E124">
        <f t="shared" si="2"/>
        <v>2013</v>
      </c>
      <c r="F124" t="str">
        <f t="shared" si="3"/>
        <v/>
      </c>
    </row>
    <row r="125" spans="1:6" ht="16" x14ac:dyDescent="0.15">
      <c r="A125" s="75"/>
      <c r="B125" s="85">
        <v>8.1</v>
      </c>
      <c r="C125" s="85">
        <v>2.9</v>
      </c>
      <c r="D125" s="68" t="s">
        <v>32</v>
      </c>
      <c r="E125">
        <f t="shared" si="2"/>
        <v>2013</v>
      </c>
      <c r="F125" t="str">
        <f t="shared" si="3"/>
        <v>Keep</v>
      </c>
    </row>
    <row r="126" spans="1:6" ht="16" hidden="1" x14ac:dyDescent="0.15">
      <c r="A126" s="72">
        <v>2014</v>
      </c>
      <c r="B126" s="85">
        <v>8.1999999999999993</v>
      </c>
      <c r="C126" s="85">
        <v>3</v>
      </c>
      <c r="D126" s="68" t="s">
        <v>32</v>
      </c>
      <c r="E126">
        <f t="shared" si="2"/>
        <v>2014</v>
      </c>
      <c r="F126" t="str">
        <f t="shared" si="3"/>
        <v/>
      </c>
    </row>
    <row r="127" spans="1:6" ht="16" hidden="1" x14ac:dyDescent="0.15">
      <c r="A127" s="73"/>
      <c r="B127" s="85">
        <v>8.3000000000000007</v>
      </c>
      <c r="C127" s="85">
        <v>3</v>
      </c>
      <c r="D127" s="68" t="s">
        <v>32</v>
      </c>
      <c r="E127">
        <f t="shared" si="2"/>
        <v>2014</v>
      </c>
      <c r="F127" t="str">
        <f t="shared" si="3"/>
        <v/>
      </c>
    </row>
    <row r="128" spans="1:6" ht="16" hidden="1" x14ac:dyDescent="0.15">
      <c r="A128" s="74"/>
      <c r="B128" s="85">
        <v>8.1999999999999993</v>
      </c>
      <c r="C128" s="85">
        <v>2.9</v>
      </c>
      <c r="D128" s="68" t="s">
        <v>32</v>
      </c>
      <c r="E128">
        <f t="shared" si="2"/>
        <v>2014</v>
      </c>
      <c r="F128" t="str">
        <f t="shared" si="3"/>
        <v/>
      </c>
    </row>
    <row r="129" spans="1:6" ht="16" x14ac:dyDescent="0.15">
      <c r="A129" s="75"/>
      <c r="B129" s="85">
        <v>8.1999999999999993</v>
      </c>
      <c r="C129" s="85">
        <v>2.9</v>
      </c>
      <c r="D129" s="68" t="s">
        <v>32</v>
      </c>
      <c r="E129">
        <f t="shared" si="2"/>
        <v>2014</v>
      </c>
      <c r="F129" t="str">
        <f t="shared" si="3"/>
        <v>Keep</v>
      </c>
    </row>
    <row r="130" spans="1:6" ht="16" hidden="1" x14ac:dyDescent="0.15">
      <c r="A130" s="72">
        <v>2015</v>
      </c>
      <c r="B130" s="85">
        <v>8.1999999999999993</v>
      </c>
      <c r="C130" s="85">
        <v>3</v>
      </c>
      <c r="D130" s="68" t="s">
        <v>32</v>
      </c>
      <c r="E130">
        <f t="shared" si="2"/>
        <v>2015</v>
      </c>
      <c r="F130" t="str">
        <f t="shared" si="3"/>
        <v/>
      </c>
    </row>
    <row r="131" spans="1:6" ht="16" hidden="1" x14ac:dyDescent="0.15">
      <c r="A131" s="73"/>
      <c r="B131" s="85">
        <v>8.3000000000000007</v>
      </c>
      <c r="C131" s="85">
        <v>2.9</v>
      </c>
      <c r="D131" s="68" t="s">
        <v>32</v>
      </c>
      <c r="E131">
        <f t="shared" ref="E131:E172" si="4">IF(A131="",E130,A131)</f>
        <v>2015</v>
      </c>
      <c r="F131" t="str">
        <f t="shared" ref="F131:F172" si="5">IF(OR(D131&lt;&gt;D132,E131&lt;&gt;E132),"Keep","")</f>
        <v/>
      </c>
    </row>
    <row r="132" spans="1:6" ht="16" hidden="1" x14ac:dyDescent="0.15">
      <c r="A132" s="74"/>
      <c r="B132" s="85">
        <v>8.1999999999999993</v>
      </c>
      <c r="C132" s="85">
        <v>2.9</v>
      </c>
      <c r="D132" s="68" t="s">
        <v>32</v>
      </c>
      <c r="E132">
        <f t="shared" si="4"/>
        <v>2015</v>
      </c>
      <c r="F132" t="str">
        <f t="shared" si="5"/>
        <v/>
      </c>
    </row>
    <row r="133" spans="1:6" ht="16" x14ac:dyDescent="0.15">
      <c r="A133" s="75"/>
      <c r="B133" s="85">
        <v>8.1</v>
      </c>
      <c r="C133" s="85">
        <v>2.8</v>
      </c>
      <c r="D133" s="68" t="s">
        <v>32</v>
      </c>
      <c r="E133">
        <f t="shared" si="4"/>
        <v>2015</v>
      </c>
      <c r="F133" t="str">
        <f t="shared" si="5"/>
        <v>Keep</v>
      </c>
    </row>
    <row r="134" spans="1:6" ht="16" hidden="1" x14ac:dyDescent="0.15">
      <c r="A134" s="72">
        <v>2016</v>
      </c>
      <c r="B134" s="85">
        <v>8.1</v>
      </c>
      <c r="C134" s="85">
        <v>2.9</v>
      </c>
      <c r="D134" s="68" t="s">
        <v>32</v>
      </c>
      <c r="E134">
        <f t="shared" si="4"/>
        <v>2016</v>
      </c>
      <c r="F134" t="str">
        <f t="shared" si="5"/>
        <v/>
      </c>
    </row>
    <row r="135" spans="1:6" ht="16" hidden="1" x14ac:dyDescent="0.15">
      <c r="A135" s="73"/>
      <c r="B135" s="85">
        <v>8.1999999999999993</v>
      </c>
      <c r="C135" s="85">
        <v>2.8</v>
      </c>
      <c r="D135" s="68" t="s">
        <v>32</v>
      </c>
      <c r="E135">
        <f t="shared" si="4"/>
        <v>2016</v>
      </c>
      <c r="F135" t="str">
        <f t="shared" si="5"/>
        <v/>
      </c>
    </row>
    <row r="136" spans="1:6" ht="16" hidden="1" x14ac:dyDescent="0.15">
      <c r="A136" s="74"/>
      <c r="B136" s="85">
        <v>8</v>
      </c>
      <c r="C136" s="85">
        <v>2.7</v>
      </c>
      <c r="D136" s="68" t="s">
        <v>32</v>
      </c>
      <c r="E136">
        <f t="shared" si="4"/>
        <v>2016</v>
      </c>
      <c r="F136" t="str">
        <f t="shared" si="5"/>
        <v/>
      </c>
    </row>
    <row r="137" spans="1:6" ht="16" x14ac:dyDescent="0.15">
      <c r="A137" s="75"/>
      <c r="B137" s="85">
        <v>7.9</v>
      </c>
      <c r="C137" s="85">
        <v>2.7</v>
      </c>
      <c r="D137" s="68" t="s">
        <v>32</v>
      </c>
      <c r="E137">
        <f t="shared" si="4"/>
        <v>2016</v>
      </c>
      <c r="F137" t="str">
        <f t="shared" si="5"/>
        <v>Keep</v>
      </c>
    </row>
    <row r="138" spans="1:6" ht="16" hidden="1" x14ac:dyDescent="0.15">
      <c r="A138" s="72">
        <v>2017</v>
      </c>
      <c r="B138" s="85">
        <v>7.9</v>
      </c>
      <c r="C138" s="85">
        <v>2.7</v>
      </c>
      <c r="D138" s="68" t="s">
        <v>32</v>
      </c>
      <c r="E138">
        <f t="shared" si="4"/>
        <v>2017</v>
      </c>
      <c r="F138" t="str">
        <f t="shared" si="5"/>
        <v/>
      </c>
    </row>
    <row r="139" spans="1:6" ht="16" hidden="1" x14ac:dyDescent="0.15">
      <c r="A139" s="73"/>
      <c r="B139" s="85">
        <v>7.9</v>
      </c>
      <c r="C139" s="85">
        <v>2.6</v>
      </c>
      <c r="D139" s="68" t="s">
        <v>32</v>
      </c>
      <c r="E139">
        <f t="shared" si="4"/>
        <v>2017</v>
      </c>
      <c r="F139" t="str">
        <f t="shared" si="5"/>
        <v/>
      </c>
    </row>
    <row r="140" spans="1:6" ht="16" hidden="1" x14ac:dyDescent="0.15">
      <c r="A140" s="74"/>
      <c r="B140" s="85">
        <v>7.8</v>
      </c>
      <c r="C140" s="85">
        <v>2.6</v>
      </c>
      <c r="D140" s="68" t="s">
        <v>32</v>
      </c>
      <c r="E140">
        <f t="shared" si="4"/>
        <v>2017</v>
      </c>
      <c r="F140" t="str">
        <f t="shared" si="5"/>
        <v/>
      </c>
    </row>
    <row r="141" spans="1:6" ht="16" x14ac:dyDescent="0.15">
      <c r="A141" s="75"/>
      <c r="B141" s="85">
        <v>7.6</v>
      </c>
      <c r="C141" s="85">
        <v>2.5</v>
      </c>
      <c r="D141" s="68" t="s">
        <v>32</v>
      </c>
      <c r="E141">
        <f t="shared" si="4"/>
        <v>2017</v>
      </c>
      <c r="F141" t="str">
        <f t="shared" si="5"/>
        <v>Keep</v>
      </c>
    </row>
    <row r="142" spans="1:6" ht="16" hidden="1" x14ac:dyDescent="0.15">
      <c r="A142" s="72">
        <v>2018</v>
      </c>
      <c r="B142" s="85">
        <v>7.6</v>
      </c>
      <c r="C142" s="85">
        <v>2.5</v>
      </c>
      <c r="D142" s="68" t="s">
        <v>32</v>
      </c>
      <c r="E142">
        <f t="shared" si="4"/>
        <v>2018</v>
      </c>
      <c r="F142" t="str">
        <f t="shared" si="5"/>
        <v/>
      </c>
    </row>
    <row r="143" spans="1:6" ht="16" hidden="1" x14ac:dyDescent="0.15">
      <c r="A143" s="73"/>
      <c r="B143" s="85">
        <v>7.6</v>
      </c>
      <c r="C143" s="85">
        <v>2.5</v>
      </c>
      <c r="D143" s="68" t="s">
        <v>32</v>
      </c>
      <c r="E143">
        <f t="shared" si="4"/>
        <v>2018</v>
      </c>
      <c r="F143" t="str">
        <f t="shared" si="5"/>
        <v/>
      </c>
    </row>
    <row r="144" spans="1:6" ht="16" hidden="1" x14ac:dyDescent="0.15">
      <c r="A144" s="74"/>
      <c r="B144" s="85">
        <v>7.4</v>
      </c>
      <c r="C144" s="85">
        <v>2.4</v>
      </c>
      <c r="D144" s="68" t="s">
        <v>32</v>
      </c>
      <c r="E144">
        <f t="shared" si="4"/>
        <v>2018</v>
      </c>
      <c r="F144" t="str">
        <f t="shared" si="5"/>
        <v/>
      </c>
    </row>
    <row r="145" spans="1:6" ht="16" x14ac:dyDescent="0.15">
      <c r="A145" s="75"/>
      <c r="B145" s="85">
        <v>7.1</v>
      </c>
      <c r="C145" s="85">
        <v>2.2999999999999998</v>
      </c>
      <c r="D145" s="68" t="s">
        <v>32</v>
      </c>
      <c r="E145">
        <f t="shared" si="4"/>
        <v>2018</v>
      </c>
      <c r="F145" t="str">
        <f t="shared" si="5"/>
        <v>Keep</v>
      </c>
    </row>
    <row r="146" spans="1:6" ht="16" hidden="1" x14ac:dyDescent="0.15">
      <c r="A146" s="76">
        <v>2019</v>
      </c>
      <c r="B146" s="85">
        <v>6.9</v>
      </c>
      <c r="C146" s="85">
        <v>2.2000000000000002</v>
      </c>
      <c r="D146" s="68" t="s">
        <v>32</v>
      </c>
      <c r="E146">
        <f t="shared" si="4"/>
        <v>2019</v>
      </c>
      <c r="F146" t="str">
        <f t="shared" si="5"/>
        <v/>
      </c>
    </row>
    <row r="147" spans="1:6" ht="16" hidden="1" x14ac:dyDescent="0.15">
      <c r="A147" s="77"/>
      <c r="B147" s="85">
        <v>6.6</v>
      </c>
      <c r="C147" s="85">
        <v>2.2000000000000002</v>
      </c>
      <c r="D147" s="68" t="s">
        <v>32</v>
      </c>
      <c r="E147">
        <f t="shared" si="4"/>
        <v>2019</v>
      </c>
      <c r="F147" t="str">
        <f t="shared" si="5"/>
        <v/>
      </c>
    </row>
    <row r="148" spans="1:6" ht="16" hidden="1" x14ac:dyDescent="0.15">
      <c r="A148" s="76"/>
      <c r="B148" s="85">
        <v>6.3</v>
      </c>
      <c r="C148" s="85">
        <v>2.1</v>
      </c>
      <c r="D148" s="68" t="s">
        <v>32</v>
      </c>
      <c r="E148">
        <f t="shared" si="4"/>
        <v>2019</v>
      </c>
      <c r="F148" t="str">
        <f t="shared" si="5"/>
        <v/>
      </c>
    </row>
    <row r="149" spans="1:6" ht="16" x14ac:dyDescent="0.15">
      <c r="A149" s="77"/>
      <c r="B149" s="85">
        <v>6.1</v>
      </c>
      <c r="C149" s="85">
        <v>2</v>
      </c>
      <c r="D149" s="68" t="s">
        <v>32</v>
      </c>
      <c r="E149">
        <f t="shared" si="4"/>
        <v>2019</v>
      </c>
      <c r="F149" t="str">
        <f t="shared" si="5"/>
        <v>Keep</v>
      </c>
    </row>
    <row r="150" spans="1:6" ht="16" hidden="1" x14ac:dyDescent="0.15">
      <c r="A150" s="72">
        <v>2020</v>
      </c>
      <c r="B150" s="85">
        <v>5.9</v>
      </c>
      <c r="C150" s="85">
        <v>1.9</v>
      </c>
      <c r="D150" s="68" t="s">
        <v>32</v>
      </c>
      <c r="E150">
        <f t="shared" si="4"/>
        <v>2020</v>
      </c>
      <c r="F150" t="str">
        <f t="shared" si="5"/>
        <v/>
      </c>
    </row>
    <row r="151" spans="1:6" ht="16" hidden="1" x14ac:dyDescent="0.15">
      <c r="A151" s="73"/>
      <c r="B151" s="86">
        <v>5.6</v>
      </c>
      <c r="C151" s="86">
        <v>1.9</v>
      </c>
      <c r="D151" s="68" t="s">
        <v>32</v>
      </c>
      <c r="E151">
        <f t="shared" si="4"/>
        <v>2020</v>
      </c>
      <c r="F151" t="str">
        <f t="shared" si="5"/>
        <v/>
      </c>
    </row>
    <row r="152" spans="1:6" ht="16" hidden="1" x14ac:dyDescent="0.15">
      <c r="A152" s="74"/>
      <c r="B152" s="87">
        <v>5.4</v>
      </c>
      <c r="C152" s="94">
        <v>1.8</v>
      </c>
      <c r="D152" s="68" t="s">
        <v>32</v>
      </c>
      <c r="E152">
        <f t="shared" si="4"/>
        <v>2020</v>
      </c>
      <c r="F152" t="str">
        <f t="shared" si="5"/>
        <v/>
      </c>
    </row>
    <row r="153" spans="1:6" ht="16" x14ac:dyDescent="0.15">
      <c r="A153" s="75"/>
      <c r="B153" s="87">
        <v>5.2</v>
      </c>
      <c r="C153" s="94">
        <v>1.7</v>
      </c>
      <c r="D153" s="68" t="s">
        <v>32</v>
      </c>
      <c r="E153">
        <f t="shared" si="4"/>
        <v>2020</v>
      </c>
      <c r="F153" t="str">
        <f t="shared" si="5"/>
        <v>Keep</v>
      </c>
    </row>
    <row r="154" spans="1:6" ht="16" hidden="1" x14ac:dyDescent="0.15">
      <c r="A154" s="76">
        <v>2021</v>
      </c>
      <c r="B154" s="87">
        <v>4.9000000000000004</v>
      </c>
      <c r="C154" s="94">
        <v>1.7</v>
      </c>
      <c r="D154" s="68" t="s">
        <v>32</v>
      </c>
      <c r="E154">
        <f t="shared" si="4"/>
        <v>2021</v>
      </c>
      <c r="F154" t="str">
        <f t="shared" si="5"/>
        <v/>
      </c>
    </row>
    <row r="155" spans="1:6" ht="16" hidden="1" x14ac:dyDescent="0.15">
      <c r="A155" s="77"/>
      <c r="B155" s="87">
        <v>4.7</v>
      </c>
      <c r="C155" s="94">
        <v>1.6</v>
      </c>
      <c r="D155" s="68" t="s">
        <v>32</v>
      </c>
      <c r="E155">
        <f t="shared" si="4"/>
        <v>2021</v>
      </c>
      <c r="F155" t="str">
        <f t="shared" si="5"/>
        <v/>
      </c>
    </row>
    <row r="156" spans="1:6" ht="16" hidden="1" x14ac:dyDescent="0.15">
      <c r="A156" s="76"/>
      <c r="B156" s="87">
        <v>4.3</v>
      </c>
      <c r="C156" s="94">
        <v>1.6</v>
      </c>
      <c r="D156" s="68" t="s">
        <v>32</v>
      </c>
      <c r="E156">
        <f t="shared" si="4"/>
        <v>2021</v>
      </c>
      <c r="F156" t="str">
        <f t="shared" si="5"/>
        <v/>
      </c>
    </row>
    <row r="157" spans="1:6" ht="16" x14ac:dyDescent="0.15">
      <c r="A157" s="77"/>
      <c r="B157" s="87">
        <v>4.4000000000000004</v>
      </c>
      <c r="C157" s="94">
        <v>1.5</v>
      </c>
      <c r="D157" s="68" t="s">
        <v>32</v>
      </c>
      <c r="E157">
        <f t="shared" si="4"/>
        <v>2021</v>
      </c>
      <c r="F157" t="str">
        <f t="shared" si="5"/>
        <v>Keep</v>
      </c>
    </row>
    <row r="158" spans="1:6" ht="16" hidden="1" x14ac:dyDescent="0.15">
      <c r="A158" s="78">
        <v>2022</v>
      </c>
      <c r="B158" s="87">
        <v>4.2</v>
      </c>
      <c r="C158" s="94">
        <v>1.5</v>
      </c>
      <c r="D158" s="68" t="s">
        <v>32</v>
      </c>
      <c r="E158">
        <f t="shared" si="4"/>
        <v>2022</v>
      </c>
      <c r="F158" t="str">
        <f t="shared" si="5"/>
        <v/>
      </c>
    </row>
    <row r="159" spans="1:6" ht="16" hidden="1" x14ac:dyDescent="0.15">
      <c r="A159" s="79"/>
      <c r="B159" s="87">
        <v>4.2</v>
      </c>
      <c r="C159" s="94">
        <v>1.4</v>
      </c>
      <c r="D159" s="68" t="s">
        <v>32</v>
      </c>
      <c r="E159">
        <f t="shared" si="4"/>
        <v>2022</v>
      </c>
      <c r="F159" t="str">
        <f t="shared" si="5"/>
        <v/>
      </c>
    </row>
    <row r="160" spans="1:6" ht="16" hidden="1" x14ac:dyDescent="0.15">
      <c r="A160" s="80"/>
      <c r="B160" s="87">
        <v>4</v>
      </c>
      <c r="C160" s="94">
        <v>1.3</v>
      </c>
      <c r="D160" s="68" t="s">
        <v>32</v>
      </c>
      <c r="E160">
        <f t="shared" si="4"/>
        <v>2022</v>
      </c>
      <c r="F160" t="str">
        <f t="shared" si="5"/>
        <v/>
      </c>
    </row>
    <row r="161" spans="1:6" ht="16" x14ac:dyDescent="0.15">
      <c r="A161" s="81"/>
      <c r="B161" s="87">
        <v>3.9</v>
      </c>
      <c r="C161" s="94">
        <v>1.3</v>
      </c>
      <c r="D161" s="68" t="s">
        <v>32</v>
      </c>
      <c r="E161">
        <f t="shared" si="4"/>
        <v>2022</v>
      </c>
      <c r="F161" t="str">
        <f t="shared" si="5"/>
        <v>Keep</v>
      </c>
    </row>
    <row r="162" spans="1:6" ht="16" hidden="1" x14ac:dyDescent="0.15">
      <c r="A162" s="72">
        <v>2023</v>
      </c>
      <c r="B162" s="87">
        <v>3.8</v>
      </c>
      <c r="C162" s="94">
        <v>1.3</v>
      </c>
      <c r="D162" s="68" t="s">
        <v>32</v>
      </c>
      <c r="E162">
        <f t="shared" si="4"/>
        <v>2023</v>
      </c>
      <c r="F162" t="str">
        <f t="shared" si="5"/>
        <v/>
      </c>
    </row>
    <row r="163" spans="1:6" ht="16" hidden="1" x14ac:dyDescent="0.15">
      <c r="A163" s="73"/>
      <c r="B163" s="87">
        <v>3.7</v>
      </c>
      <c r="C163" s="94">
        <v>1.2</v>
      </c>
      <c r="D163" s="68" t="s">
        <v>32</v>
      </c>
      <c r="E163">
        <f t="shared" si="4"/>
        <v>2023</v>
      </c>
      <c r="F163" t="str">
        <f t="shared" si="5"/>
        <v/>
      </c>
    </row>
    <row r="164" spans="1:6" ht="16" hidden="1" x14ac:dyDescent="0.15">
      <c r="A164" s="74"/>
      <c r="B164" s="87">
        <v>3.7</v>
      </c>
      <c r="C164" s="94">
        <v>1.2</v>
      </c>
      <c r="D164" s="68" t="s">
        <v>32</v>
      </c>
      <c r="E164">
        <f t="shared" si="4"/>
        <v>2023</v>
      </c>
      <c r="F164" t="str">
        <f t="shared" si="5"/>
        <v/>
      </c>
    </row>
    <row r="165" spans="1:6" ht="16" x14ac:dyDescent="0.15">
      <c r="A165" s="75"/>
      <c r="B165" s="87">
        <v>3.6</v>
      </c>
      <c r="C165" s="94">
        <v>1.2</v>
      </c>
      <c r="D165" s="68" t="s">
        <v>32</v>
      </c>
      <c r="E165">
        <f t="shared" si="4"/>
        <v>2023</v>
      </c>
      <c r="F165" t="str">
        <f t="shared" si="5"/>
        <v>Keep</v>
      </c>
    </row>
    <row r="166" spans="1:6" ht="16" hidden="1" x14ac:dyDescent="0.15">
      <c r="A166" s="72">
        <v>2024</v>
      </c>
      <c r="B166" s="87">
        <v>3.5</v>
      </c>
      <c r="C166" s="94">
        <v>1.1000000000000001</v>
      </c>
      <c r="D166" s="68" t="s">
        <v>32</v>
      </c>
      <c r="E166">
        <f t="shared" si="4"/>
        <v>2024</v>
      </c>
      <c r="F166" t="str">
        <f t="shared" si="5"/>
        <v/>
      </c>
    </row>
    <row r="167" spans="1:6" ht="16" hidden="1" x14ac:dyDescent="0.15">
      <c r="A167" s="73"/>
      <c r="B167" s="87">
        <v>3.4</v>
      </c>
      <c r="C167" s="94">
        <v>1.1000000000000001</v>
      </c>
      <c r="D167" s="68" t="s">
        <v>32</v>
      </c>
      <c r="E167">
        <f t="shared" si="4"/>
        <v>2024</v>
      </c>
      <c r="F167" t="str">
        <f t="shared" si="5"/>
        <v/>
      </c>
    </row>
    <row r="168" spans="1:6" ht="16" hidden="1" x14ac:dyDescent="0.15">
      <c r="A168" s="74"/>
      <c r="B168" s="87">
        <v>3.3</v>
      </c>
      <c r="C168" s="94">
        <v>1.1000000000000001</v>
      </c>
      <c r="D168" s="68" t="s">
        <v>32</v>
      </c>
      <c r="E168">
        <f t="shared" si="4"/>
        <v>2024</v>
      </c>
      <c r="F168" t="str">
        <f t="shared" si="5"/>
        <v/>
      </c>
    </row>
    <row r="169" spans="1:6" ht="16" x14ac:dyDescent="0.15">
      <c r="A169" s="75"/>
      <c r="B169" s="87">
        <v>3.2</v>
      </c>
      <c r="C169" s="94">
        <v>1</v>
      </c>
      <c r="D169" s="68" t="s">
        <v>32</v>
      </c>
      <c r="E169">
        <f t="shared" si="4"/>
        <v>2024</v>
      </c>
      <c r="F169" t="str">
        <f t="shared" si="5"/>
        <v>Keep</v>
      </c>
    </row>
    <row r="170" spans="1:6" ht="16" hidden="1" x14ac:dyDescent="0.15">
      <c r="A170" s="76">
        <v>2025</v>
      </c>
      <c r="B170" s="87">
        <v>3.1</v>
      </c>
      <c r="C170" s="94">
        <v>0.99448800000000004</v>
      </c>
      <c r="D170" s="68" t="s">
        <v>32</v>
      </c>
      <c r="E170">
        <f t="shared" si="4"/>
        <v>2025</v>
      </c>
      <c r="F170" t="str">
        <f t="shared" si="5"/>
        <v/>
      </c>
    </row>
    <row r="171" spans="1:6" ht="16" hidden="1" x14ac:dyDescent="0.15">
      <c r="A171" s="77"/>
      <c r="B171" s="87">
        <v>3</v>
      </c>
      <c r="C171" s="94">
        <v>1</v>
      </c>
      <c r="D171" s="68" t="s">
        <v>32</v>
      </c>
      <c r="E171">
        <f t="shared" si="4"/>
        <v>2025</v>
      </c>
      <c r="F171" t="str">
        <f t="shared" si="5"/>
        <v/>
      </c>
    </row>
    <row r="172" spans="1:6" ht="16" x14ac:dyDescent="0.15">
      <c r="A172" s="76"/>
      <c r="B172" s="87">
        <v>2.9</v>
      </c>
      <c r="C172" s="94">
        <v>0.9</v>
      </c>
      <c r="D172" s="68" t="s">
        <v>32</v>
      </c>
      <c r="E172">
        <f t="shared" si="4"/>
        <v>2025</v>
      </c>
      <c r="F172" t="str">
        <f t="shared" si="5"/>
        <v>Keep</v>
      </c>
    </row>
  </sheetData>
  <autoFilter ref="A1:F172" xr:uid="{E402EC2B-24B1-1E41-9E29-624ACFCAC5C7}">
    <filterColumn colId="5">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349E4-2ABE-6C45-8C26-9A0612A45964}">
  <dimension ref="A1:D58"/>
  <sheetViews>
    <sheetView workbookViewId="0">
      <selection activeCell="E59" sqref="E59"/>
    </sheetView>
  </sheetViews>
  <sheetFormatPr baseColWidth="10" defaultRowHeight="13" x14ac:dyDescent="0.15"/>
  <sheetData>
    <row r="1" spans="1:4" x14ac:dyDescent="0.15">
      <c r="A1" s="68" t="s">
        <v>27</v>
      </c>
      <c r="B1" s="68" t="s">
        <v>28</v>
      </c>
      <c r="C1" s="68" t="s">
        <v>29</v>
      </c>
      <c r="D1" s="68" t="s">
        <v>30</v>
      </c>
    </row>
    <row r="2" spans="1:4" x14ac:dyDescent="0.15">
      <c r="A2">
        <v>2007</v>
      </c>
      <c r="B2">
        <v>106.8</v>
      </c>
      <c r="C2">
        <v>7</v>
      </c>
      <c r="D2" t="s">
        <v>0</v>
      </c>
    </row>
    <row r="3" spans="1:4" x14ac:dyDescent="0.15">
      <c r="A3">
        <v>2008</v>
      </c>
      <c r="B3">
        <v>122.5</v>
      </c>
      <c r="C3">
        <v>7.7</v>
      </c>
      <c r="D3" t="s">
        <v>0</v>
      </c>
    </row>
    <row r="4" spans="1:4" x14ac:dyDescent="0.15">
      <c r="A4">
        <v>2009</v>
      </c>
      <c r="B4">
        <v>154.9</v>
      </c>
      <c r="C4">
        <v>9.1999999999999993</v>
      </c>
      <c r="D4" t="s">
        <v>0</v>
      </c>
    </row>
    <row r="5" spans="1:4" x14ac:dyDescent="0.15">
      <c r="A5">
        <v>2010</v>
      </c>
      <c r="B5">
        <v>224.5</v>
      </c>
      <c r="C5">
        <v>14.4</v>
      </c>
      <c r="D5" t="s">
        <v>0</v>
      </c>
    </row>
    <row r="6" spans="1:4" x14ac:dyDescent="0.15">
      <c r="A6">
        <v>2011</v>
      </c>
      <c r="B6">
        <v>350.1</v>
      </c>
      <c r="C6">
        <v>19.399999999999999</v>
      </c>
      <c r="D6" t="s">
        <v>0</v>
      </c>
    </row>
    <row r="7" spans="1:4" x14ac:dyDescent="0.15">
      <c r="A7">
        <v>2012</v>
      </c>
      <c r="B7">
        <v>488.3</v>
      </c>
      <c r="C7">
        <v>22.8</v>
      </c>
      <c r="D7" t="s">
        <v>0</v>
      </c>
    </row>
    <row r="8" spans="1:4" x14ac:dyDescent="0.15">
      <c r="A8">
        <v>2013</v>
      </c>
      <c r="B8">
        <v>609.1</v>
      </c>
      <c r="C8">
        <v>25.6</v>
      </c>
      <c r="D8" t="s">
        <v>0</v>
      </c>
    </row>
    <row r="9" spans="1:4" x14ac:dyDescent="0.15">
      <c r="A9">
        <v>2014</v>
      </c>
      <c r="B9">
        <v>726.6</v>
      </c>
      <c r="C9">
        <v>27.9</v>
      </c>
      <c r="D9" t="s">
        <v>0</v>
      </c>
    </row>
    <row r="10" spans="1:4" x14ac:dyDescent="0.15">
      <c r="A10">
        <v>2015</v>
      </c>
      <c r="B10">
        <v>840.7</v>
      </c>
      <c r="C10">
        <v>29.9</v>
      </c>
      <c r="D10" t="s">
        <v>0</v>
      </c>
    </row>
    <row r="11" spans="1:4" x14ac:dyDescent="0.15">
      <c r="A11">
        <v>2016</v>
      </c>
      <c r="B11">
        <v>949.1</v>
      </c>
      <c r="C11">
        <v>31.5</v>
      </c>
      <c r="D11" t="s">
        <v>0</v>
      </c>
    </row>
    <row r="12" spans="1:4" x14ac:dyDescent="0.15">
      <c r="A12">
        <v>2017</v>
      </c>
      <c r="B12">
        <v>1053.5</v>
      </c>
      <c r="C12">
        <v>33</v>
      </c>
      <c r="D12" t="s">
        <v>0</v>
      </c>
    </row>
    <row r="13" spans="1:4" x14ac:dyDescent="0.15">
      <c r="A13">
        <v>2018</v>
      </c>
      <c r="B13">
        <v>1150.3</v>
      </c>
      <c r="C13">
        <v>34.200000000000003</v>
      </c>
      <c r="D13" t="s">
        <v>0</v>
      </c>
    </row>
    <row r="14" spans="1:4" x14ac:dyDescent="0.15">
      <c r="A14">
        <v>2019</v>
      </c>
      <c r="B14">
        <v>1242.5999999999999</v>
      </c>
      <c r="C14">
        <v>35.1</v>
      </c>
      <c r="D14" t="s">
        <v>0</v>
      </c>
    </row>
    <row r="15" spans="1:4" x14ac:dyDescent="0.15">
      <c r="A15">
        <v>2020</v>
      </c>
      <c r="B15">
        <v>1315.2</v>
      </c>
      <c r="C15">
        <v>35.9</v>
      </c>
      <c r="D15" t="s">
        <v>0</v>
      </c>
    </row>
    <row r="16" spans="1:4" x14ac:dyDescent="0.15">
      <c r="A16">
        <v>2021</v>
      </c>
      <c r="B16">
        <v>1375.9</v>
      </c>
      <c r="C16">
        <v>37</v>
      </c>
      <c r="D16" t="s">
        <v>0</v>
      </c>
    </row>
    <row r="17" spans="1:4" x14ac:dyDescent="0.15">
      <c r="A17">
        <v>2022</v>
      </c>
      <c r="B17">
        <v>1422.8</v>
      </c>
      <c r="C17">
        <v>37.799999999999997</v>
      </c>
      <c r="D17" t="s">
        <v>0</v>
      </c>
    </row>
    <row r="18" spans="1:4" x14ac:dyDescent="0.15">
      <c r="A18">
        <v>2023</v>
      </c>
      <c r="B18">
        <v>1413.3</v>
      </c>
      <c r="C18">
        <v>38.1</v>
      </c>
      <c r="D18" t="s">
        <v>0</v>
      </c>
    </row>
    <row r="19" spans="1:4" x14ac:dyDescent="0.15">
      <c r="A19">
        <v>2024</v>
      </c>
      <c r="B19">
        <v>1470.1</v>
      </c>
      <c r="C19">
        <v>38.200000000000003</v>
      </c>
      <c r="D19" t="s">
        <v>0</v>
      </c>
    </row>
    <row r="20" spans="1:4" x14ac:dyDescent="0.15">
      <c r="A20">
        <v>2025</v>
      </c>
      <c r="B20">
        <v>1500.8</v>
      </c>
      <c r="C20">
        <v>38</v>
      </c>
      <c r="D20" t="s">
        <v>0</v>
      </c>
    </row>
    <row r="21" spans="1:4" x14ac:dyDescent="0.15">
      <c r="A21">
        <v>2007</v>
      </c>
      <c r="B21">
        <v>401.9</v>
      </c>
      <c r="C21">
        <v>22.6</v>
      </c>
      <c r="D21" t="s">
        <v>31</v>
      </c>
    </row>
    <row r="22" spans="1:4" x14ac:dyDescent="0.15">
      <c r="A22">
        <v>2008</v>
      </c>
      <c r="B22">
        <v>446.5</v>
      </c>
      <c r="C22">
        <v>23.7</v>
      </c>
      <c r="D22" t="s">
        <v>31</v>
      </c>
    </row>
    <row r="23" spans="1:4" x14ac:dyDescent="0.15">
      <c r="A23">
        <v>2009</v>
      </c>
      <c r="B23">
        <v>493.3</v>
      </c>
      <c r="C23">
        <v>25</v>
      </c>
      <c r="D23" t="s">
        <v>31</v>
      </c>
    </row>
    <row r="24" spans="1:4" x14ac:dyDescent="0.15">
      <c r="A24">
        <v>2010</v>
      </c>
      <c r="B24">
        <v>516.70000000000005</v>
      </c>
      <c r="C24">
        <v>25.1</v>
      </c>
      <c r="D24" t="s">
        <v>31</v>
      </c>
    </row>
    <row r="25" spans="1:4" x14ac:dyDescent="0.15">
      <c r="A25">
        <v>2011</v>
      </c>
      <c r="B25">
        <v>489.8</v>
      </c>
      <c r="C25">
        <v>23.8</v>
      </c>
      <c r="D25" t="s">
        <v>31</v>
      </c>
    </row>
    <row r="26" spans="1:4" x14ac:dyDescent="0.15">
      <c r="A26">
        <v>2012</v>
      </c>
      <c r="B26">
        <v>451.7</v>
      </c>
      <c r="C26">
        <v>22.4</v>
      </c>
      <c r="D26" t="s">
        <v>31</v>
      </c>
    </row>
    <row r="27" spans="1:4" x14ac:dyDescent="0.15">
      <c r="A27">
        <v>2013</v>
      </c>
      <c r="B27">
        <v>423</v>
      </c>
      <c r="C27">
        <v>20.9</v>
      </c>
      <c r="D27" t="s">
        <v>31</v>
      </c>
    </row>
    <row r="28" spans="1:4" x14ac:dyDescent="0.15">
      <c r="A28">
        <v>2014</v>
      </c>
      <c r="B28">
        <v>395</v>
      </c>
      <c r="C28">
        <v>19.399999999999999</v>
      </c>
      <c r="D28" t="s">
        <v>31</v>
      </c>
    </row>
    <row r="29" spans="1:4" x14ac:dyDescent="0.15">
      <c r="A29">
        <v>2015</v>
      </c>
      <c r="B29">
        <v>363.6</v>
      </c>
      <c r="C29">
        <v>17.899999999999999</v>
      </c>
      <c r="D29" t="s">
        <v>31</v>
      </c>
    </row>
    <row r="30" spans="1:4" x14ac:dyDescent="0.15">
      <c r="A30">
        <v>2016</v>
      </c>
      <c r="B30">
        <v>335.2</v>
      </c>
      <c r="C30">
        <v>16.399999999999999</v>
      </c>
      <c r="D30" t="s">
        <v>31</v>
      </c>
    </row>
    <row r="31" spans="1:4" x14ac:dyDescent="0.15">
      <c r="A31">
        <v>2017</v>
      </c>
      <c r="B31">
        <v>305.8</v>
      </c>
      <c r="C31">
        <v>14.9</v>
      </c>
      <c r="D31" t="s">
        <v>31</v>
      </c>
    </row>
    <row r="32" spans="1:4" x14ac:dyDescent="0.15">
      <c r="A32">
        <v>2018</v>
      </c>
      <c r="B32">
        <v>281.8</v>
      </c>
      <c r="C32">
        <v>13.5</v>
      </c>
      <c r="D32" t="s">
        <v>31</v>
      </c>
    </row>
    <row r="33" spans="1:4" x14ac:dyDescent="0.15">
      <c r="A33">
        <v>2019</v>
      </c>
      <c r="B33">
        <v>261.60000000000002</v>
      </c>
      <c r="C33">
        <v>12.1</v>
      </c>
      <c r="D33" t="s">
        <v>31</v>
      </c>
    </row>
    <row r="34" spans="1:4" x14ac:dyDescent="0.15">
      <c r="A34">
        <v>2020</v>
      </c>
      <c r="B34">
        <v>245.9</v>
      </c>
      <c r="C34">
        <v>11</v>
      </c>
      <c r="D34" t="s">
        <v>31</v>
      </c>
    </row>
    <row r="35" spans="1:4" x14ac:dyDescent="0.15">
      <c r="A35">
        <v>2021</v>
      </c>
      <c r="B35">
        <v>230.4</v>
      </c>
      <c r="C35">
        <v>10.199999999999999</v>
      </c>
      <c r="D35" t="s">
        <v>31</v>
      </c>
    </row>
    <row r="36" spans="1:4" x14ac:dyDescent="0.15">
      <c r="A36">
        <v>2022</v>
      </c>
      <c r="B36">
        <v>207.8</v>
      </c>
      <c r="C36">
        <v>9.1999999999999993</v>
      </c>
      <c r="D36" t="s">
        <v>31</v>
      </c>
    </row>
    <row r="37" spans="1:4" x14ac:dyDescent="0.15">
      <c r="A37">
        <v>2023</v>
      </c>
      <c r="B37">
        <v>185.4</v>
      </c>
      <c r="C37">
        <v>8.3000000000000007</v>
      </c>
      <c r="D37" t="s">
        <v>31</v>
      </c>
    </row>
    <row r="38" spans="1:4" x14ac:dyDescent="0.15">
      <c r="A38">
        <v>2024</v>
      </c>
      <c r="B38">
        <v>165.4</v>
      </c>
      <c r="C38">
        <v>7.3</v>
      </c>
      <c r="D38" t="s">
        <v>31</v>
      </c>
    </row>
    <row r="39" spans="1:4" x14ac:dyDescent="0.15">
      <c r="A39">
        <v>2025</v>
      </c>
      <c r="B39">
        <v>161.9</v>
      </c>
      <c r="C39">
        <v>6.9</v>
      </c>
      <c r="D39" t="s">
        <v>31</v>
      </c>
    </row>
    <row r="40" spans="1:4" x14ac:dyDescent="0.15">
      <c r="A40">
        <v>2007</v>
      </c>
      <c r="B40">
        <v>8.1999999999999993</v>
      </c>
      <c r="C40">
        <v>2.8</v>
      </c>
      <c r="D40" t="s">
        <v>32</v>
      </c>
    </row>
    <row r="41" spans="1:4" x14ac:dyDescent="0.15">
      <c r="A41">
        <v>2008</v>
      </c>
      <c r="B41">
        <v>8.5</v>
      </c>
      <c r="C41">
        <v>2.9</v>
      </c>
      <c r="D41" t="s">
        <v>32</v>
      </c>
    </row>
    <row r="42" spans="1:4" x14ac:dyDescent="0.15">
      <c r="A42">
        <v>2009</v>
      </c>
      <c r="B42">
        <v>8.6999999999999993</v>
      </c>
      <c r="C42">
        <v>3</v>
      </c>
      <c r="D42" t="s">
        <v>32</v>
      </c>
    </row>
    <row r="43" spans="1:4" x14ac:dyDescent="0.15">
      <c r="A43">
        <v>2010</v>
      </c>
      <c r="B43">
        <v>8.4</v>
      </c>
      <c r="C43">
        <v>2.9</v>
      </c>
      <c r="D43" t="s">
        <v>32</v>
      </c>
    </row>
    <row r="44" spans="1:4" x14ac:dyDescent="0.15">
      <c r="A44">
        <v>2011</v>
      </c>
      <c r="B44">
        <v>8.3000000000000007</v>
      </c>
      <c r="C44">
        <v>2.9</v>
      </c>
      <c r="D44" t="s">
        <v>32</v>
      </c>
    </row>
    <row r="45" spans="1:4" x14ac:dyDescent="0.15">
      <c r="A45">
        <v>2012</v>
      </c>
      <c r="B45">
        <v>8.1999999999999993</v>
      </c>
      <c r="C45">
        <v>2.9</v>
      </c>
      <c r="D45" t="s">
        <v>32</v>
      </c>
    </row>
    <row r="46" spans="1:4" x14ac:dyDescent="0.15">
      <c r="A46">
        <v>2013</v>
      </c>
      <c r="B46">
        <v>8.1</v>
      </c>
      <c r="C46">
        <v>2.9</v>
      </c>
      <c r="D46" t="s">
        <v>32</v>
      </c>
    </row>
    <row r="47" spans="1:4" x14ac:dyDescent="0.15">
      <c r="A47">
        <v>2014</v>
      </c>
      <c r="B47">
        <v>8.1999999999999993</v>
      </c>
      <c r="C47">
        <v>2.9</v>
      </c>
      <c r="D47" t="s">
        <v>32</v>
      </c>
    </row>
    <row r="48" spans="1:4" x14ac:dyDescent="0.15">
      <c r="A48">
        <v>2015</v>
      </c>
      <c r="B48">
        <v>8.1</v>
      </c>
      <c r="C48">
        <v>2.8</v>
      </c>
      <c r="D48" t="s">
        <v>32</v>
      </c>
    </row>
    <row r="49" spans="1:4" x14ac:dyDescent="0.15">
      <c r="A49">
        <v>2016</v>
      </c>
      <c r="B49">
        <v>7.9</v>
      </c>
      <c r="C49">
        <v>2.7</v>
      </c>
      <c r="D49" t="s">
        <v>32</v>
      </c>
    </row>
    <row r="50" spans="1:4" x14ac:dyDescent="0.15">
      <c r="A50">
        <v>2017</v>
      </c>
      <c r="B50">
        <v>7.6</v>
      </c>
      <c r="C50">
        <v>2.5</v>
      </c>
      <c r="D50" t="s">
        <v>32</v>
      </c>
    </row>
    <row r="51" spans="1:4" x14ac:dyDescent="0.15">
      <c r="A51">
        <v>2018</v>
      </c>
      <c r="B51">
        <v>7.1</v>
      </c>
      <c r="C51">
        <v>2.2999999999999998</v>
      </c>
      <c r="D51" t="s">
        <v>32</v>
      </c>
    </row>
    <row r="52" spans="1:4" x14ac:dyDescent="0.15">
      <c r="A52">
        <v>2019</v>
      </c>
      <c r="B52">
        <v>6.1</v>
      </c>
      <c r="C52">
        <v>2</v>
      </c>
      <c r="D52" t="s">
        <v>32</v>
      </c>
    </row>
    <row r="53" spans="1:4" x14ac:dyDescent="0.15">
      <c r="A53">
        <v>2020</v>
      </c>
      <c r="B53">
        <v>5.2</v>
      </c>
      <c r="C53">
        <v>1.7</v>
      </c>
      <c r="D53" t="s">
        <v>32</v>
      </c>
    </row>
    <row r="54" spans="1:4" x14ac:dyDescent="0.15">
      <c r="A54">
        <v>2021</v>
      </c>
      <c r="B54">
        <v>4.4000000000000004</v>
      </c>
      <c r="C54">
        <v>1.5</v>
      </c>
      <c r="D54" t="s">
        <v>32</v>
      </c>
    </row>
    <row r="55" spans="1:4" x14ac:dyDescent="0.15">
      <c r="A55">
        <v>2022</v>
      </c>
      <c r="B55">
        <v>3.9</v>
      </c>
      <c r="C55">
        <v>1.3</v>
      </c>
      <c r="D55" t="s">
        <v>32</v>
      </c>
    </row>
    <row r="56" spans="1:4" x14ac:dyDescent="0.15">
      <c r="A56">
        <v>2023</v>
      </c>
      <c r="B56">
        <v>3.6</v>
      </c>
      <c r="C56">
        <v>1.2</v>
      </c>
      <c r="D56" t="s">
        <v>32</v>
      </c>
    </row>
    <row r="57" spans="1:4" x14ac:dyDescent="0.15">
      <c r="A57">
        <v>2024</v>
      </c>
      <c r="B57">
        <v>3.2</v>
      </c>
      <c r="C57">
        <v>1</v>
      </c>
      <c r="D57" t="s">
        <v>32</v>
      </c>
    </row>
    <row r="58" spans="1:4" x14ac:dyDescent="0.15">
      <c r="A58">
        <v>2025</v>
      </c>
      <c r="B58">
        <v>2.9</v>
      </c>
      <c r="C58">
        <v>0.9</v>
      </c>
      <c r="D58"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FA8B-089D-914E-B8FB-41444FC15A72}">
  <dimension ref="A1:F172"/>
  <sheetViews>
    <sheetView tabSelected="1" workbookViewId="0">
      <selection activeCell="G21" sqref="G21"/>
    </sheetView>
  </sheetViews>
  <sheetFormatPr baseColWidth="10" defaultRowHeight="13" x14ac:dyDescent="0.15"/>
  <cols>
    <col min="2" max="3" width="10.83203125" style="93"/>
  </cols>
  <sheetData>
    <row r="1" spans="1:4" ht="17" x14ac:dyDescent="0.15">
      <c r="A1" s="67" t="s">
        <v>27</v>
      </c>
      <c r="B1" s="82" t="s">
        <v>28</v>
      </c>
      <c r="C1" s="82" t="s">
        <v>29</v>
      </c>
      <c r="D1" s="68" t="s">
        <v>30</v>
      </c>
    </row>
    <row r="2" spans="1:4" ht="16" x14ac:dyDescent="0.15">
      <c r="A2" s="69">
        <v>2007</v>
      </c>
      <c r="B2" s="83">
        <v>106.8</v>
      </c>
      <c r="C2" s="94">
        <v>7</v>
      </c>
      <c r="D2" s="68" t="s">
        <v>0</v>
      </c>
    </row>
    <row r="3" spans="1:4" ht="16" x14ac:dyDescent="0.15">
      <c r="A3" s="70">
        <v>2008</v>
      </c>
      <c r="B3" s="83">
        <v>122.5</v>
      </c>
      <c r="C3" s="83">
        <v>7.7</v>
      </c>
      <c r="D3" s="68" t="s">
        <v>0</v>
      </c>
    </row>
    <row r="4" spans="1:4" ht="16" x14ac:dyDescent="0.15">
      <c r="A4" s="69">
        <v>2009</v>
      </c>
      <c r="B4" s="83">
        <v>154.9</v>
      </c>
      <c r="C4" s="83">
        <v>9.1999999999999993</v>
      </c>
      <c r="D4" s="68" t="s">
        <v>0</v>
      </c>
    </row>
    <row r="5" spans="1:4" ht="16" x14ac:dyDescent="0.15">
      <c r="A5" s="70">
        <v>2010</v>
      </c>
      <c r="B5" s="84">
        <v>224.5</v>
      </c>
      <c r="C5" s="83">
        <v>14.4</v>
      </c>
      <c r="D5" s="68" t="s">
        <v>0</v>
      </c>
    </row>
    <row r="6" spans="1:4" ht="16" x14ac:dyDescent="0.15">
      <c r="A6" s="69">
        <v>2011</v>
      </c>
      <c r="B6" s="84">
        <v>350.1</v>
      </c>
      <c r="C6" s="83">
        <v>19.399999999999999</v>
      </c>
      <c r="D6" s="68" t="s">
        <v>0</v>
      </c>
    </row>
    <row r="7" spans="1:4" ht="16" x14ac:dyDescent="0.15">
      <c r="A7" s="71">
        <v>2012</v>
      </c>
      <c r="B7" s="85">
        <v>488.3</v>
      </c>
      <c r="C7" s="83">
        <v>22.8</v>
      </c>
      <c r="D7" s="68" t="s">
        <v>0</v>
      </c>
    </row>
    <row r="8" spans="1:4" ht="16" x14ac:dyDescent="0.15">
      <c r="A8" s="72">
        <v>2013</v>
      </c>
      <c r="B8" s="85">
        <v>508.7</v>
      </c>
      <c r="C8" s="83">
        <v>23.4</v>
      </c>
      <c r="D8" s="68" t="s">
        <v>0</v>
      </c>
    </row>
    <row r="9" spans="1:4" ht="16" x14ac:dyDescent="0.15">
      <c r="A9" s="73"/>
      <c r="B9" s="85">
        <v>553</v>
      </c>
      <c r="C9" s="83">
        <v>24.1</v>
      </c>
      <c r="D9" s="68" t="s">
        <v>0</v>
      </c>
    </row>
    <row r="10" spans="1:4" ht="16" x14ac:dyDescent="0.15">
      <c r="A10" s="74"/>
      <c r="B10" s="85">
        <v>569.20000000000005</v>
      </c>
      <c r="C10" s="83">
        <v>24.3</v>
      </c>
      <c r="D10" s="68" t="s">
        <v>0</v>
      </c>
    </row>
    <row r="11" spans="1:4" ht="16" x14ac:dyDescent="0.15">
      <c r="A11" s="75"/>
      <c r="B11" s="85">
        <v>609.1</v>
      </c>
      <c r="C11" s="83">
        <v>25.6</v>
      </c>
      <c r="D11" s="68" t="s">
        <v>0</v>
      </c>
    </row>
    <row r="12" spans="1:4" ht="16" x14ac:dyDescent="0.15">
      <c r="A12" s="72">
        <v>2014</v>
      </c>
      <c r="B12" s="85">
        <v>626.5</v>
      </c>
      <c r="C12" s="83">
        <v>26.2</v>
      </c>
      <c r="D12" s="68" t="s">
        <v>0</v>
      </c>
    </row>
    <row r="13" spans="1:4" ht="16" x14ac:dyDescent="0.15">
      <c r="A13" s="73"/>
      <c r="B13" s="85">
        <v>669</v>
      </c>
      <c r="C13" s="83">
        <v>26.5</v>
      </c>
      <c r="D13" s="68" t="s">
        <v>0</v>
      </c>
    </row>
    <row r="14" spans="1:4" ht="16" x14ac:dyDescent="0.15">
      <c r="A14" s="74"/>
      <c r="B14" s="85">
        <v>685.7</v>
      </c>
      <c r="C14" s="83">
        <v>26.7</v>
      </c>
      <c r="D14" s="68" t="s">
        <v>0</v>
      </c>
    </row>
    <row r="15" spans="1:4" ht="16" x14ac:dyDescent="0.15">
      <c r="A15" s="75"/>
      <c r="B15" s="85">
        <v>726.6</v>
      </c>
      <c r="C15" s="83">
        <v>27.9</v>
      </c>
      <c r="D15" s="68" t="s">
        <v>0</v>
      </c>
    </row>
    <row r="16" spans="1:4" ht="16" x14ac:dyDescent="0.15">
      <c r="A16" s="72">
        <v>2015</v>
      </c>
      <c r="B16" s="85">
        <v>744.3</v>
      </c>
      <c r="C16" s="83">
        <v>28.5</v>
      </c>
      <c r="D16" s="68" t="s">
        <v>0</v>
      </c>
    </row>
    <row r="17" spans="1:4" ht="16" x14ac:dyDescent="0.15">
      <c r="A17" s="73"/>
      <c r="B17" s="85">
        <v>787</v>
      </c>
      <c r="C17" s="83">
        <v>28.7</v>
      </c>
      <c r="D17" s="68" t="s">
        <v>0</v>
      </c>
    </row>
    <row r="18" spans="1:4" ht="16" x14ac:dyDescent="0.15">
      <c r="A18" s="74"/>
      <c r="B18" s="85">
        <v>803.1</v>
      </c>
      <c r="C18" s="83">
        <v>28.8</v>
      </c>
      <c r="D18" s="68" t="s">
        <v>0</v>
      </c>
    </row>
    <row r="19" spans="1:4" ht="16" x14ac:dyDescent="0.15">
      <c r="A19" s="75"/>
      <c r="B19" s="85">
        <v>840.7</v>
      </c>
      <c r="C19" s="83">
        <v>29.9</v>
      </c>
      <c r="D19" s="68" t="s">
        <v>0</v>
      </c>
    </row>
    <row r="20" spans="1:4" ht="16" x14ac:dyDescent="0.15">
      <c r="A20" s="72">
        <v>2016</v>
      </c>
      <c r="B20" s="85">
        <v>854.8</v>
      </c>
      <c r="C20" s="83">
        <v>30.3</v>
      </c>
      <c r="D20" s="68" t="s">
        <v>0</v>
      </c>
    </row>
    <row r="21" spans="1:4" ht="16" x14ac:dyDescent="0.15">
      <c r="A21" s="73"/>
      <c r="B21" s="85">
        <v>896.6</v>
      </c>
      <c r="C21" s="83">
        <v>30.5</v>
      </c>
      <c r="D21" s="68" t="s">
        <v>0</v>
      </c>
    </row>
    <row r="22" spans="1:4" ht="16" x14ac:dyDescent="0.15">
      <c r="A22" s="74"/>
      <c r="B22" s="85">
        <v>911.6</v>
      </c>
      <c r="C22" s="83">
        <v>30.5</v>
      </c>
      <c r="D22" s="68" t="s">
        <v>0</v>
      </c>
    </row>
    <row r="23" spans="1:4" ht="16" x14ac:dyDescent="0.15">
      <c r="A23" s="75"/>
      <c r="B23" s="85">
        <v>949.1</v>
      </c>
      <c r="C23" s="83">
        <v>31.5</v>
      </c>
      <c r="D23" s="68" t="s">
        <v>0</v>
      </c>
    </row>
    <row r="24" spans="1:4" ht="16" x14ac:dyDescent="0.15">
      <c r="A24" s="72">
        <v>2017</v>
      </c>
      <c r="B24" s="85">
        <v>963.5</v>
      </c>
      <c r="C24" s="83">
        <v>31.9</v>
      </c>
      <c r="D24" s="68" t="s">
        <v>0</v>
      </c>
    </row>
    <row r="25" spans="1:4" ht="16" x14ac:dyDescent="0.15">
      <c r="A25" s="73"/>
      <c r="B25" s="85">
        <v>1003.3</v>
      </c>
      <c r="C25" s="83">
        <v>32.1</v>
      </c>
      <c r="D25" s="68" t="s">
        <v>0</v>
      </c>
    </row>
    <row r="26" spans="1:4" ht="16" x14ac:dyDescent="0.15">
      <c r="A26" s="74"/>
      <c r="B26" s="85">
        <v>1017</v>
      </c>
      <c r="C26" s="83">
        <v>32</v>
      </c>
      <c r="D26" s="68" t="s">
        <v>0</v>
      </c>
    </row>
    <row r="27" spans="1:4" ht="16" x14ac:dyDescent="0.15">
      <c r="A27" s="75"/>
      <c r="B27" s="85">
        <v>1053.5</v>
      </c>
      <c r="C27" s="83">
        <v>33</v>
      </c>
      <c r="D27" s="68" t="s">
        <v>0</v>
      </c>
    </row>
    <row r="28" spans="1:4" ht="16" x14ac:dyDescent="0.15">
      <c r="A28" s="72">
        <v>2018</v>
      </c>
      <c r="B28" s="85">
        <v>1066.8</v>
      </c>
      <c r="C28" s="83">
        <v>33.299999999999997</v>
      </c>
      <c r="D28" s="68" t="s">
        <v>0</v>
      </c>
    </row>
    <row r="29" spans="1:4" ht="16" x14ac:dyDescent="0.15">
      <c r="A29" s="73"/>
      <c r="B29" s="85">
        <v>1104</v>
      </c>
      <c r="C29" s="83">
        <v>33.4</v>
      </c>
      <c r="D29" s="68" t="s">
        <v>0</v>
      </c>
    </row>
    <row r="30" spans="1:4" ht="16" x14ac:dyDescent="0.15">
      <c r="A30" s="74"/>
      <c r="B30" s="85">
        <v>1116</v>
      </c>
      <c r="C30" s="83">
        <v>33.299999999999997</v>
      </c>
      <c r="D30" s="68" t="s">
        <v>0</v>
      </c>
    </row>
    <row r="31" spans="1:4" ht="16" x14ac:dyDescent="0.15">
      <c r="A31" s="75"/>
      <c r="B31" s="85">
        <v>1150.3</v>
      </c>
      <c r="C31" s="83">
        <v>34.200000000000003</v>
      </c>
      <c r="D31" s="68" t="s">
        <v>0</v>
      </c>
    </row>
    <row r="32" spans="1:4" ht="16" x14ac:dyDescent="0.15">
      <c r="A32" s="76">
        <v>2019</v>
      </c>
      <c r="B32" s="85">
        <v>1163.3</v>
      </c>
      <c r="C32" s="83">
        <v>34.5</v>
      </c>
      <c r="D32" s="68" t="s">
        <v>0</v>
      </c>
    </row>
    <row r="33" spans="1:6" ht="16" x14ac:dyDescent="0.15">
      <c r="A33" s="77"/>
      <c r="B33" s="85">
        <v>1198.4000000000001</v>
      </c>
      <c r="C33" s="83">
        <v>34.5</v>
      </c>
      <c r="D33" s="68" t="s">
        <v>0</v>
      </c>
    </row>
    <row r="34" spans="1:6" ht="16" x14ac:dyDescent="0.15">
      <c r="A34" s="76"/>
      <c r="B34" s="85">
        <v>1208.8</v>
      </c>
      <c r="C34" s="83">
        <v>34.299999999999997</v>
      </c>
      <c r="D34" s="68" t="s">
        <v>0</v>
      </c>
    </row>
    <row r="35" spans="1:6" ht="16" x14ac:dyDescent="0.15">
      <c r="A35" s="77"/>
      <c r="B35" s="85">
        <v>1242.5999999999999</v>
      </c>
      <c r="C35" s="83">
        <v>35.1</v>
      </c>
      <c r="D35" s="68" t="s">
        <v>0</v>
      </c>
    </row>
    <row r="36" spans="1:6" ht="16" x14ac:dyDescent="0.15">
      <c r="A36" s="72">
        <v>2020</v>
      </c>
      <c r="B36" s="85">
        <v>1251.9000000000001</v>
      </c>
      <c r="C36" s="83">
        <v>35.299999999999997</v>
      </c>
      <c r="D36" s="68" t="s">
        <v>0</v>
      </c>
    </row>
    <row r="37" spans="1:6" ht="16" x14ac:dyDescent="0.15">
      <c r="A37" s="73"/>
      <c r="B37" s="86">
        <v>1284.7</v>
      </c>
      <c r="C37" s="95">
        <v>35.299999999999997</v>
      </c>
      <c r="D37" s="68" t="s">
        <v>0</v>
      </c>
    </row>
    <row r="38" spans="1:6" ht="16" x14ac:dyDescent="0.15">
      <c r="A38" s="74"/>
      <c r="B38" s="87">
        <v>1290.5999999999999</v>
      </c>
      <c r="C38" s="94">
        <v>35.200000000000003</v>
      </c>
      <c r="D38" s="68" t="s">
        <v>0</v>
      </c>
    </row>
    <row r="39" spans="1:6" ht="16" x14ac:dyDescent="0.15">
      <c r="A39" s="75"/>
      <c r="B39" s="87">
        <v>1315.2</v>
      </c>
      <c r="C39" s="94">
        <v>35.9</v>
      </c>
      <c r="D39" s="68" t="s">
        <v>0</v>
      </c>
    </row>
    <row r="40" spans="1:6" ht="16" x14ac:dyDescent="0.15">
      <c r="A40" s="76">
        <v>2021</v>
      </c>
      <c r="B40" s="87">
        <v>1318.1</v>
      </c>
      <c r="C40" s="94">
        <v>36.1</v>
      </c>
      <c r="D40" s="68" t="s">
        <v>0</v>
      </c>
    </row>
    <row r="41" spans="1:6" ht="16" x14ac:dyDescent="0.15">
      <c r="A41" s="77"/>
      <c r="B41" s="87">
        <v>1348.3</v>
      </c>
      <c r="C41" s="94">
        <v>36.299999999999997</v>
      </c>
      <c r="D41" s="68" t="s">
        <v>0</v>
      </c>
      <c r="F41" s="68"/>
    </row>
    <row r="42" spans="1:6" ht="16" x14ac:dyDescent="0.15">
      <c r="A42" s="76"/>
      <c r="B42" s="87">
        <v>1352.7</v>
      </c>
      <c r="C42" s="94">
        <v>36.299999999999997</v>
      </c>
      <c r="D42" s="68" t="s">
        <v>0</v>
      </c>
    </row>
    <row r="43" spans="1:6" ht="16" x14ac:dyDescent="0.15">
      <c r="A43" s="77"/>
      <c r="B43" s="87">
        <v>1375.9</v>
      </c>
      <c r="C43" s="94">
        <v>37</v>
      </c>
      <c r="D43" s="68" t="s">
        <v>0</v>
      </c>
    </row>
    <row r="44" spans="1:6" ht="16" x14ac:dyDescent="0.15">
      <c r="A44" s="78">
        <v>2022</v>
      </c>
      <c r="B44" s="87">
        <v>1376.5</v>
      </c>
      <c r="C44" s="94">
        <v>37.200000000000003</v>
      </c>
      <c r="D44" s="68" t="s">
        <v>0</v>
      </c>
    </row>
    <row r="45" spans="1:6" ht="16" x14ac:dyDescent="0.15">
      <c r="A45" s="79"/>
      <c r="B45" s="87">
        <v>1396.2</v>
      </c>
      <c r="C45" s="94">
        <v>37.1</v>
      </c>
      <c r="D45" s="68" t="s">
        <v>0</v>
      </c>
    </row>
    <row r="46" spans="1:6" ht="16" x14ac:dyDescent="0.15">
      <c r="A46" s="80"/>
      <c r="B46" s="87">
        <v>1399.7</v>
      </c>
      <c r="C46" s="94">
        <v>37.1</v>
      </c>
      <c r="D46" s="68" t="s">
        <v>0</v>
      </c>
    </row>
    <row r="47" spans="1:6" ht="16" x14ac:dyDescent="0.15">
      <c r="A47" s="81"/>
      <c r="B47" s="87">
        <v>1422.8</v>
      </c>
      <c r="C47" s="94">
        <v>37.799999999999997</v>
      </c>
      <c r="D47" s="68" t="s">
        <v>0</v>
      </c>
    </row>
    <row r="48" spans="1:6" ht="16" x14ac:dyDescent="0.15">
      <c r="A48" s="72">
        <v>2023</v>
      </c>
      <c r="B48" s="87">
        <v>1432.9</v>
      </c>
      <c r="C48" s="94">
        <v>38.299999999999997</v>
      </c>
      <c r="D48" s="68" t="s">
        <v>0</v>
      </c>
    </row>
    <row r="49" spans="1:4" ht="16" x14ac:dyDescent="0.15">
      <c r="A49" s="73"/>
      <c r="B49" s="87">
        <v>1446</v>
      </c>
      <c r="C49" s="94">
        <v>38.299999999999997</v>
      </c>
      <c r="D49" s="68" t="s">
        <v>0</v>
      </c>
    </row>
    <row r="50" spans="1:4" ht="16" x14ac:dyDescent="0.15">
      <c r="A50" s="74"/>
      <c r="B50" s="87">
        <v>1439.1</v>
      </c>
      <c r="C50" s="94">
        <v>38.200000000000003</v>
      </c>
      <c r="D50" s="68" t="s">
        <v>0</v>
      </c>
    </row>
    <row r="51" spans="1:4" ht="16" x14ac:dyDescent="0.15">
      <c r="A51" s="75"/>
      <c r="B51" s="87">
        <v>1413.3</v>
      </c>
      <c r="C51" s="94">
        <v>38.1</v>
      </c>
      <c r="D51" s="68" t="s">
        <v>0</v>
      </c>
    </row>
    <row r="52" spans="1:4" ht="16" x14ac:dyDescent="0.15">
      <c r="A52" s="72">
        <v>2024</v>
      </c>
      <c r="B52" s="87">
        <v>1413.3</v>
      </c>
      <c r="C52" s="94">
        <v>38.1</v>
      </c>
      <c r="D52" s="68" t="s">
        <v>0</v>
      </c>
    </row>
    <row r="53" spans="1:4" ht="16" x14ac:dyDescent="0.15">
      <c r="A53" s="73"/>
      <c r="B53" s="87">
        <v>1440.4</v>
      </c>
      <c r="C53" s="94">
        <v>37.9</v>
      </c>
      <c r="D53" s="68" t="s">
        <v>0</v>
      </c>
    </row>
    <row r="54" spans="1:4" ht="16" x14ac:dyDescent="0.15">
      <c r="A54" s="74"/>
      <c r="B54" s="87">
        <v>1438.6</v>
      </c>
      <c r="C54" s="94">
        <v>37.5</v>
      </c>
      <c r="D54" s="68" t="s">
        <v>0</v>
      </c>
    </row>
    <row r="55" spans="1:4" ht="16" x14ac:dyDescent="0.15">
      <c r="A55" s="75"/>
      <c r="B55" s="87">
        <v>1470.1</v>
      </c>
      <c r="C55" s="94">
        <v>38.200000000000003</v>
      </c>
      <c r="D55" s="68" t="s">
        <v>0</v>
      </c>
    </row>
    <row r="56" spans="1:4" ht="16" x14ac:dyDescent="0.15">
      <c r="A56" s="76">
        <v>2025</v>
      </c>
      <c r="B56" s="87">
        <v>1472.5846617654299</v>
      </c>
      <c r="C56" s="94">
        <v>38.333494999999999</v>
      </c>
      <c r="D56" s="68" t="s">
        <v>0</v>
      </c>
    </row>
    <row r="57" spans="1:4" ht="16" x14ac:dyDescent="0.15">
      <c r="A57" s="77"/>
      <c r="B57" s="87">
        <v>1494.5</v>
      </c>
      <c r="C57" s="94">
        <v>38.200000000000003</v>
      </c>
      <c r="D57" s="68" t="s">
        <v>0</v>
      </c>
    </row>
    <row r="58" spans="1:4" ht="16" x14ac:dyDescent="0.15">
      <c r="A58" s="76"/>
      <c r="B58" s="87">
        <v>1500.8</v>
      </c>
      <c r="C58" s="94">
        <v>38</v>
      </c>
      <c r="D58" s="68" t="s">
        <v>0</v>
      </c>
    </row>
    <row r="59" spans="1:4" ht="16" x14ac:dyDescent="0.15">
      <c r="A59" s="69">
        <v>2007</v>
      </c>
      <c r="B59" s="88">
        <v>401.9</v>
      </c>
      <c r="C59" s="96">
        <v>22.6</v>
      </c>
      <c r="D59" s="68" t="s">
        <v>31</v>
      </c>
    </row>
    <row r="60" spans="1:4" ht="16" x14ac:dyDescent="0.15">
      <c r="A60" s="70">
        <v>2008</v>
      </c>
      <c r="B60" s="89">
        <v>446.5</v>
      </c>
      <c r="C60" s="96">
        <v>23.7</v>
      </c>
      <c r="D60" s="68" t="s">
        <v>31</v>
      </c>
    </row>
    <row r="61" spans="1:4" ht="16" x14ac:dyDescent="0.15">
      <c r="A61" s="69">
        <v>2009</v>
      </c>
      <c r="B61" s="89">
        <v>493.3</v>
      </c>
      <c r="C61" s="96">
        <v>25</v>
      </c>
      <c r="D61" s="68" t="s">
        <v>31</v>
      </c>
    </row>
    <row r="62" spans="1:4" ht="16" x14ac:dyDescent="0.15">
      <c r="A62" s="70">
        <v>2010</v>
      </c>
      <c r="B62" s="89">
        <v>516.70000000000005</v>
      </c>
      <c r="C62" s="96">
        <v>25.1</v>
      </c>
      <c r="D62" s="68" t="s">
        <v>31</v>
      </c>
    </row>
    <row r="63" spans="1:4" ht="16" x14ac:dyDescent="0.15">
      <c r="A63" s="69">
        <v>2011</v>
      </c>
      <c r="B63" s="89">
        <v>489.8</v>
      </c>
      <c r="C63" s="96">
        <v>23.8</v>
      </c>
      <c r="D63" s="68" t="s">
        <v>31</v>
      </c>
    </row>
    <row r="64" spans="1:4" ht="16" x14ac:dyDescent="0.15">
      <c r="A64" s="71">
        <v>2012</v>
      </c>
      <c r="B64" s="89">
        <v>451.7</v>
      </c>
      <c r="C64" s="88">
        <v>22.4</v>
      </c>
      <c r="D64" s="68" t="s">
        <v>31</v>
      </c>
    </row>
    <row r="65" spans="1:4" ht="16" x14ac:dyDescent="0.15">
      <c r="A65" s="72">
        <v>2013</v>
      </c>
      <c r="B65" s="89">
        <v>444.9</v>
      </c>
      <c r="C65" s="88">
        <v>22.1</v>
      </c>
      <c r="D65" s="68" t="s">
        <v>31</v>
      </c>
    </row>
    <row r="66" spans="1:4" ht="16" x14ac:dyDescent="0.15">
      <c r="A66" s="73"/>
      <c r="B66" s="89">
        <v>437</v>
      </c>
      <c r="C66" s="88">
        <v>21.6</v>
      </c>
      <c r="D66" s="68" t="s">
        <v>31</v>
      </c>
    </row>
    <row r="67" spans="1:4" ht="16" x14ac:dyDescent="0.15">
      <c r="A67" s="74"/>
      <c r="B67" s="89">
        <v>429.5</v>
      </c>
      <c r="C67" s="88">
        <v>21.2</v>
      </c>
      <c r="D67" s="68" t="s">
        <v>31</v>
      </c>
    </row>
    <row r="68" spans="1:4" ht="16" x14ac:dyDescent="0.15">
      <c r="A68" s="75"/>
      <c r="B68" s="89">
        <v>423</v>
      </c>
      <c r="C68" s="88">
        <v>20.9</v>
      </c>
      <c r="D68" s="68" t="s">
        <v>31</v>
      </c>
    </row>
    <row r="69" spans="1:4" ht="16" x14ac:dyDescent="0.15">
      <c r="A69" s="72">
        <v>2014</v>
      </c>
      <c r="B69" s="89">
        <v>417.1</v>
      </c>
      <c r="C69" s="88">
        <v>20.6</v>
      </c>
      <c r="D69" s="68" t="s">
        <v>31</v>
      </c>
    </row>
    <row r="70" spans="1:4" ht="16" x14ac:dyDescent="0.15">
      <c r="A70" s="73"/>
      <c r="B70" s="89">
        <v>409.7</v>
      </c>
      <c r="C70" s="88">
        <v>20.2</v>
      </c>
      <c r="D70" s="68" t="s">
        <v>31</v>
      </c>
    </row>
    <row r="71" spans="1:4" ht="16" x14ac:dyDescent="0.15">
      <c r="A71" s="74"/>
      <c r="B71" s="89">
        <v>402.5</v>
      </c>
      <c r="C71" s="88">
        <v>19.8</v>
      </c>
      <c r="D71" s="68" t="s">
        <v>31</v>
      </c>
    </row>
    <row r="72" spans="1:4" ht="16" x14ac:dyDescent="0.15">
      <c r="A72" s="75"/>
      <c r="B72" s="89">
        <v>395</v>
      </c>
      <c r="C72" s="88">
        <v>19.399999999999999</v>
      </c>
      <c r="D72" s="68" t="s">
        <v>31</v>
      </c>
    </row>
    <row r="73" spans="1:4" ht="16" x14ac:dyDescent="0.15">
      <c r="A73" s="72">
        <v>2015</v>
      </c>
      <c r="B73" s="89">
        <v>387.6</v>
      </c>
      <c r="C73" s="88">
        <v>19.100000000000001</v>
      </c>
      <c r="D73" s="68" t="s">
        <v>31</v>
      </c>
    </row>
    <row r="74" spans="1:4" ht="16" x14ac:dyDescent="0.15">
      <c r="A74" s="73"/>
      <c r="B74" s="89">
        <v>379.1</v>
      </c>
      <c r="C74" s="88">
        <v>18.600000000000001</v>
      </c>
      <c r="D74" s="68" t="s">
        <v>31</v>
      </c>
    </row>
    <row r="75" spans="1:4" ht="16" x14ac:dyDescent="0.15">
      <c r="A75" s="74"/>
      <c r="B75" s="89">
        <v>370.9</v>
      </c>
      <c r="C75" s="88">
        <v>18.2</v>
      </c>
      <c r="D75" s="68" t="s">
        <v>31</v>
      </c>
    </row>
    <row r="76" spans="1:4" ht="16" x14ac:dyDescent="0.15">
      <c r="A76" s="75"/>
      <c r="B76" s="89">
        <v>363.6</v>
      </c>
      <c r="C76" s="88">
        <v>17.899999999999999</v>
      </c>
      <c r="D76" s="68" t="s">
        <v>31</v>
      </c>
    </row>
    <row r="77" spans="1:4" ht="16" x14ac:dyDescent="0.15">
      <c r="A77" s="72">
        <v>2016</v>
      </c>
      <c r="B77" s="89">
        <v>357.3</v>
      </c>
      <c r="C77" s="88">
        <v>17.5</v>
      </c>
      <c r="D77" s="68" t="s">
        <v>31</v>
      </c>
    </row>
    <row r="78" spans="1:4" ht="16" x14ac:dyDescent="0.15">
      <c r="A78" s="73"/>
      <c r="B78" s="89">
        <v>350.2</v>
      </c>
      <c r="C78" s="88">
        <v>17.2</v>
      </c>
      <c r="D78" s="68" t="s">
        <v>31</v>
      </c>
    </row>
    <row r="79" spans="1:4" ht="16" x14ac:dyDescent="0.15">
      <c r="A79" s="74"/>
      <c r="B79" s="89">
        <v>342.6</v>
      </c>
      <c r="C79" s="88">
        <v>16.8</v>
      </c>
      <c r="D79" s="68" t="s">
        <v>31</v>
      </c>
    </row>
    <row r="80" spans="1:4" ht="16" x14ac:dyDescent="0.15">
      <c r="A80" s="75"/>
      <c r="B80" s="89">
        <v>335.2</v>
      </c>
      <c r="C80" s="88">
        <v>16.399999999999999</v>
      </c>
      <c r="D80" s="68" t="s">
        <v>31</v>
      </c>
    </row>
    <row r="81" spans="1:4" ht="16" x14ac:dyDescent="0.15">
      <c r="A81" s="72">
        <v>2017</v>
      </c>
      <c r="B81" s="89">
        <v>328.3</v>
      </c>
      <c r="C81" s="88">
        <v>16.100000000000001</v>
      </c>
      <c r="D81" s="68" t="s">
        <v>31</v>
      </c>
    </row>
    <row r="82" spans="1:4" ht="16" x14ac:dyDescent="0.15">
      <c r="A82" s="73"/>
      <c r="B82" s="89">
        <v>320.5</v>
      </c>
      <c r="C82" s="88">
        <v>15.7</v>
      </c>
      <c r="D82" s="68" t="s">
        <v>31</v>
      </c>
    </row>
    <row r="83" spans="1:4" ht="16" x14ac:dyDescent="0.15">
      <c r="A83" s="74"/>
      <c r="B83" s="89">
        <v>312.60000000000002</v>
      </c>
      <c r="C83" s="88">
        <v>15.2</v>
      </c>
      <c r="D83" s="68" t="s">
        <v>31</v>
      </c>
    </row>
    <row r="84" spans="1:4" ht="16" x14ac:dyDescent="0.15">
      <c r="A84" s="75"/>
      <c r="B84" s="89">
        <v>305.8</v>
      </c>
      <c r="C84" s="88">
        <v>14.9</v>
      </c>
      <c r="D84" s="68" t="s">
        <v>31</v>
      </c>
    </row>
    <row r="85" spans="1:4" ht="16" x14ac:dyDescent="0.15">
      <c r="A85" s="72">
        <v>2018</v>
      </c>
      <c r="B85" s="89">
        <v>301.10000000000002</v>
      </c>
      <c r="C85" s="88">
        <v>14.5</v>
      </c>
      <c r="D85" s="68" t="s">
        <v>31</v>
      </c>
    </row>
    <row r="86" spans="1:4" ht="16" x14ac:dyDescent="0.15">
      <c r="A86" s="73"/>
      <c r="B86" s="89">
        <v>295.5</v>
      </c>
      <c r="C86" s="88">
        <v>14.2</v>
      </c>
      <c r="D86" s="68" t="s">
        <v>31</v>
      </c>
    </row>
    <row r="87" spans="1:4" ht="16" x14ac:dyDescent="0.15">
      <c r="A87" s="74"/>
      <c r="B87" s="89">
        <v>288.60000000000002</v>
      </c>
      <c r="C87" s="88">
        <v>13.8</v>
      </c>
      <c r="D87" s="68" t="s">
        <v>31</v>
      </c>
    </row>
    <row r="88" spans="1:4" ht="16" x14ac:dyDescent="0.15">
      <c r="A88" s="75"/>
      <c r="B88" s="89">
        <v>281.8</v>
      </c>
      <c r="C88" s="88">
        <v>13.5</v>
      </c>
      <c r="D88" s="68" t="s">
        <v>31</v>
      </c>
    </row>
    <row r="89" spans="1:4" ht="16" x14ac:dyDescent="0.15">
      <c r="A89" s="76">
        <v>2019</v>
      </c>
      <c r="B89" s="89">
        <v>277</v>
      </c>
      <c r="C89" s="88">
        <v>13.1</v>
      </c>
      <c r="D89" s="68" t="s">
        <v>31</v>
      </c>
    </row>
    <row r="90" spans="1:4" ht="16" x14ac:dyDescent="0.15">
      <c r="A90" s="77"/>
      <c r="B90" s="89">
        <v>271.60000000000002</v>
      </c>
      <c r="C90" s="88">
        <v>12.8</v>
      </c>
      <c r="D90" s="68" t="s">
        <v>31</v>
      </c>
    </row>
    <row r="91" spans="1:4" ht="16" x14ac:dyDescent="0.15">
      <c r="A91" s="76"/>
      <c r="B91" s="89">
        <v>266</v>
      </c>
      <c r="C91" s="88">
        <v>12.4</v>
      </c>
      <c r="D91" s="68" t="s">
        <v>31</v>
      </c>
    </row>
    <row r="92" spans="1:4" ht="16" x14ac:dyDescent="0.15">
      <c r="A92" s="77"/>
      <c r="B92" s="89">
        <v>261.60000000000002</v>
      </c>
      <c r="C92" s="88">
        <v>12.1</v>
      </c>
      <c r="D92" s="68" t="s">
        <v>31</v>
      </c>
    </row>
    <row r="93" spans="1:4" ht="16" x14ac:dyDescent="0.15">
      <c r="A93" s="72">
        <v>2020</v>
      </c>
      <c r="B93" s="89">
        <v>257.2</v>
      </c>
      <c r="C93" s="88">
        <v>11.8</v>
      </c>
      <c r="D93" s="68" t="s">
        <v>31</v>
      </c>
    </row>
    <row r="94" spans="1:4" ht="16" x14ac:dyDescent="0.15">
      <c r="A94" s="73"/>
      <c r="B94" s="90">
        <v>252.4</v>
      </c>
      <c r="C94" s="97">
        <v>11.5</v>
      </c>
      <c r="D94" s="68" t="s">
        <v>31</v>
      </c>
    </row>
    <row r="95" spans="1:4" ht="16" x14ac:dyDescent="0.15">
      <c r="A95" s="74"/>
      <c r="B95" s="91">
        <v>248.7</v>
      </c>
      <c r="C95" s="98">
        <v>11.2</v>
      </c>
      <c r="D95" s="68" t="s">
        <v>31</v>
      </c>
    </row>
    <row r="96" spans="1:4" ht="16" x14ac:dyDescent="0.15">
      <c r="A96" s="75"/>
      <c r="B96" s="92">
        <v>245.9</v>
      </c>
      <c r="C96" s="99">
        <v>11</v>
      </c>
      <c r="D96" s="68" t="s">
        <v>31</v>
      </c>
    </row>
    <row r="97" spans="1:4" ht="16" x14ac:dyDescent="0.15">
      <c r="A97" s="76">
        <v>2021</v>
      </c>
      <c r="B97" s="91">
        <v>242.1</v>
      </c>
      <c r="C97" s="98">
        <v>10.8</v>
      </c>
      <c r="D97" s="68" t="s">
        <v>31</v>
      </c>
    </row>
    <row r="98" spans="1:4" ht="16" x14ac:dyDescent="0.15">
      <c r="A98" s="77"/>
      <c r="B98" s="92">
        <v>238.8</v>
      </c>
      <c r="C98" s="99">
        <v>10.6</v>
      </c>
      <c r="D98" s="68" t="s">
        <v>31</v>
      </c>
    </row>
    <row r="99" spans="1:4" ht="16" x14ac:dyDescent="0.15">
      <c r="A99" s="76"/>
      <c r="B99" s="91">
        <v>234.1</v>
      </c>
      <c r="C99" s="98">
        <v>10.3</v>
      </c>
      <c r="D99" s="68" t="s">
        <v>31</v>
      </c>
    </row>
    <row r="100" spans="1:4" ht="16" x14ac:dyDescent="0.15">
      <c r="A100" s="77"/>
      <c r="B100" s="92">
        <v>230.4</v>
      </c>
      <c r="C100" s="99">
        <v>10.199999999999999</v>
      </c>
      <c r="D100" s="68" t="s">
        <v>31</v>
      </c>
    </row>
    <row r="101" spans="1:4" ht="16" x14ac:dyDescent="0.15">
      <c r="A101" s="78">
        <v>2022</v>
      </c>
      <c r="B101" s="91">
        <v>225.7</v>
      </c>
      <c r="C101" s="98">
        <v>9.9</v>
      </c>
      <c r="D101" s="68" t="s">
        <v>31</v>
      </c>
    </row>
    <row r="102" spans="1:4" ht="16" x14ac:dyDescent="0.15">
      <c r="A102" s="79"/>
      <c r="B102" s="92">
        <v>219.3</v>
      </c>
      <c r="C102" s="99">
        <v>9.6</v>
      </c>
      <c r="D102" s="68" t="s">
        <v>31</v>
      </c>
    </row>
    <row r="103" spans="1:4" ht="16" x14ac:dyDescent="0.15">
      <c r="A103" s="80"/>
      <c r="B103" s="91">
        <v>213.7</v>
      </c>
      <c r="C103" s="98">
        <v>9.4</v>
      </c>
      <c r="D103" s="68" t="s">
        <v>31</v>
      </c>
    </row>
    <row r="104" spans="1:4" ht="16" x14ac:dyDescent="0.15">
      <c r="A104" s="81"/>
      <c r="B104" s="92">
        <v>207.8</v>
      </c>
      <c r="C104" s="99">
        <v>9.1999999999999993</v>
      </c>
      <c r="D104" s="68" t="s">
        <v>31</v>
      </c>
    </row>
    <row r="105" spans="1:4" ht="16" x14ac:dyDescent="0.15">
      <c r="A105" s="72">
        <v>2023</v>
      </c>
      <c r="B105" s="91">
        <v>198.6</v>
      </c>
      <c r="C105" s="98">
        <v>8.8000000000000007</v>
      </c>
      <c r="D105" s="68" t="s">
        <v>31</v>
      </c>
    </row>
    <row r="106" spans="1:4" ht="16" x14ac:dyDescent="0.15">
      <c r="A106" s="73"/>
      <c r="B106" s="92">
        <v>194.7</v>
      </c>
      <c r="C106" s="99">
        <v>8.6999999999999993</v>
      </c>
      <c r="D106" s="68" t="s">
        <v>31</v>
      </c>
    </row>
    <row r="107" spans="1:4" ht="16" x14ac:dyDescent="0.15">
      <c r="A107" s="74"/>
      <c r="B107" s="91">
        <v>191</v>
      </c>
      <c r="C107" s="98">
        <v>8.5</v>
      </c>
      <c r="D107" s="68" t="s">
        <v>31</v>
      </c>
    </row>
    <row r="108" spans="1:4" ht="16" x14ac:dyDescent="0.15">
      <c r="A108" s="75"/>
      <c r="B108" s="92">
        <v>185.4</v>
      </c>
      <c r="C108" s="99">
        <v>8.3000000000000007</v>
      </c>
      <c r="D108" s="68" t="s">
        <v>31</v>
      </c>
    </row>
    <row r="109" spans="1:4" ht="16" x14ac:dyDescent="0.15">
      <c r="A109" s="72">
        <v>2024</v>
      </c>
      <c r="B109" s="91">
        <v>181.4</v>
      </c>
      <c r="C109" s="98">
        <v>8</v>
      </c>
      <c r="D109" s="68" t="s">
        <v>31</v>
      </c>
    </row>
    <row r="110" spans="1:4" ht="16" x14ac:dyDescent="0.15">
      <c r="A110" s="73"/>
      <c r="B110" s="92">
        <v>176.1</v>
      </c>
      <c r="C110" s="99">
        <v>7.8</v>
      </c>
      <c r="D110" s="68" t="s">
        <v>31</v>
      </c>
    </row>
    <row r="111" spans="1:4" ht="16" x14ac:dyDescent="0.15">
      <c r="A111" s="74"/>
      <c r="B111" s="91">
        <v>169</v>
      </c>
      <c r="C111" s="98">
        <v>7.5</v>
      </c>
      <c r="D111" s="68" t="s">
        <v>31</v>
      </c>
    </row>
    <row r="112" spans="1:4" ht="16" x14ac:dyDescent="0.15">
      <c r="A112" s="75"/>
      <c r="B112" s="92">
        <v>165.4</v>
      </c>
      <c r="C112" s="99">
        <v>7.3</v>
      </c>
      <c r="D112" s="68" t="s">
        <v>31</v>
      </c>
    </row>
    <row r="113" spans="1:4" ht="16" x14ac:dyDescent="0.15">
      <c r="A113" s="76">
        <v>2025</v>
      </c>
      <c r="B113" s="91">
        <v>163.94125573052003</v>
      </c>
      <c r="C113" s="98">
        <v>7.173381</v>
      </c>
      <c r="D113" s="68" t="s">
        <v>31</v>
      </c>
    </row>
    <row r="114" spans="1:4" ht="16" x14ac:dyDescent="0.15">
      <c r="A114" s="77"/>
      <c r="B114" s="92">
        <v>163.1</v>
      </c>
      <c r="C114" s="99">
        <v>7</v>
      </c>
      <c r="D114" s="68" t="s">
        <v>31</v>
      </c>
    </row>
    <row r="115" spans="1:4" ht="16" x14ac:dyDescent="0.15">
      <c r="A115" s="76"/>
      <c r="B115" s="91">
        <v>161.9</v>
      </c>
      <c r="C115" s="98">
        <v>6.9</v>
      </c>
      <c r="D115" s="68" t="s">
        <v>31</v>
      </c>
    </row>
    <row r="116" spans="1:4" ht="16" x14ac:dyDescent="0.15">
      <c r="A116" s="69">
        <v>2007</v>
      </c>
      <c r="B116" s="85">
        <v>8.1999999999999993</v>
      </c>
      <c r="C116" s="94">
        <v>2.8</v>
      </c>
      <c r="D116" s="68" t="s">
        <v>32</v>
      </c>
    </row>
    <row r="117" spans="1:4" ht="16" x14ac:dyDescent="0.15">
      <c r="A117" s="70">
        <v>2008</v>
      </c>
      <c r="B117" s="84">
        <v>8.5</v>
      </c>
      <c r="C117" s="85">
        <v>2.9</v>
      </c>
      <c r="D117" s="68" t="s">
        <v>32</v>
      </c>
    </row>
    <row r="118" spans="1:4" ht="16" x14ac:dyDescent="0.15">
      <c r="A118" s="69">
        <v>2009</v>
      </c>
      <c r="B118" s="84">
        <v>8.6999999999999993</v>
      </c>
      <c r="C118" s="85">
        <v>3</v>
      </c>
      <c r="D118" s="68" t="s">
        <v>32</v>
      </c>
    </row>
    <row r="119" spans="1:4" ht="16" x14ac:dyDescent="0.15">
      <c r="A119" s="70">
        <v>2010</v>
      </c>
      <c r="B119" s="84">
        <v>8.4</v>
      </c>
      <c r="C119" s="85">
        <v>2.9</v>
      </c>
      <c r="D119" s="68" t="s">
        <v>32</v>
      </c>
    </row>
    <row r="120" spans="1:4" ht="16" x14ac:dyDescent="0.15">
      <c r="A120" s="69">
        <v>2011</v>
      </c>
      <c r="B120" s="84">
        <v>8.3000000000000007</v>
      </c>
      <c r="C120" s="85">
        <v>2.9</v>
      </c>
      <c r="D120" s="68" t="s">
        <v>32</v>
      </c>
    </row>
    <row r="121" spans="1:4" ht="16" x14ac:dyDescent="0.15">
      <c r="A121" s="71">
        <v>2012</v>
      </c>
      <c r="B121" s="85">
        <v>8.1999999999999993</v>
      </c>
      <c r="C121" s="85">
        <v>2.9</v>
      </c>
      <c r="D121" s="68" t="s">
        <v>32</v>
      </c>
    </row>
    <row r="122" spans="1:4" ht="16" x14ac:dyDescent="0.15">
      <c r="A122" s="72">
        <v>2013</v>
      </c>
      <c r="B122" s="85">
        <v>8.1999999999999993</v>
      </c>
      <c r="C122" s="85">
        <v>3</v>
      </c>
      <c r="D122" s="68" t="s">
        <v>32</v>
      </c>
    </row>
    <row r="123" spans="1:4" ht="16" x14ac:dyDescent="0.15">
      <c r="A123" s="73"/>
      <c r="B123" s="85">
        <v>8.3000000000000007</v>
      </c>
      <c r="C123" s="85">
        <v>3</v>
      </c>
      <c r="D123" s="68" t="s">
        <v>32</v>
      </c>
    </row>
    <row r="124" spans="1:4" ht="16" x14ac:dyDescent="0.15">
      <c r="A124" s="74"/>
      <c r="B124" s="85">
        <v>8.1999999999999993</v>
      </c>
      <c r="C124" s="85">
        <v>2.9</v>
      </c>
      <c r="D124" s="68" t="s">
        <v>32</v>
      </c>
    </row>
    <row r="125" spans="1:4" ht="16" x14ac:dyDescent="0.15">
      <c r="A125" s="75"/>
      <c r="B125" s="85">
        <v>8.1</v>
      </c>
      <c r="C125" s="85">
        <v>2.9</v>
      </c>
      <c r="D125" s="68" t="s">
        <v>32</v>
      </c>
    </row>
    <row r="126" spans="1:4" ht="16" x14ac:dyDescent="0.15">
      <c r="A126" s="72">
        <v>2014</v>
      </c>
      <c r="B126" s="85">
        <v>8.1999999999999993</v>
      </c>
      <c r="C126" s="85">
        <v>3</v>
      </c>
      <c r="D126" s="68" t="s">
        <v>32</v>
      </c>
    </row>
    <row r="127" spans="1:4" ht="16" x14ac:dyDescent="0.15">
      <c r="A127" s="73"/>
      <c r="B127" s="85">
        <v>8.3000000000000007</v>
      </c>
      <c r="C127" s="85">
        <v>3</v>
      </c>
      <c r="D127" s="68" t="s">
        <v>32</v>
      </c>
    </row>
    <row r="128" spans="1:4" ht="16" x14ac:dyDescent="0.15">
      <c r="A128" s="74"/>
      <c r="B128" s="85">
        <v>8.1999999999999993</v>
      </c>
      <c r="C128" s="85">
        <v>2.9</v>
      </c>
      <c r="D128" s="68" t="s">
        <v>32</v>
      </c>
    </row>
    <row r="129" spans="1:4" ht="16" x14ac:dyDescent="0.15">
      <c r="A129" s="75"/>
      <c r="B129" s="85">
        <v>8.1999999999999993</v>
      </c>
      <c r="C129" s="85">
        <v>2.9</v>
      </c>
      <c r="D129" s="68" t="s">
        <v>32</v>
      </c>
    </row>
    <row r="130" spans="1:4" ht="16" x14ac:dyDescent="0.15">
      <c r="A130" s="72">
        <v>2015</v>
      </c>
      <c r="B130" s="85">
        <v>8.1999999999999993</v>
      </c>
      <c r="C130" s="85">
        <v>3</v>
      </c>
      <c r="D130" s="68" t="s">
        <v>32</v>
      </c>
    </row>
    <row r="131" spans="1:4" ht="16" x14ac:dyDescent="0.15">
      <c r="A131" s="73"/>
      <c r="B131" s="85">
        <v>8.3000000000000007</v>
      </c>
      <c r="C131" s="85">
        <v>2.9</v>
      </c>
      <c r="D131" s="68" t="s">
        <v>32</v>
      </c>
    </row>
    <row r="132" spans="1:4" ht="16" x14ac:dyDescent="0.15">
      <c r="A132" s="74"/>
      <c r="B132" s="85">
        <v>8.1999999999999993</v>
      </c>
      <c r="C132" s="85">
        <v>2.9</v>
      </c>
      <c r="D132" s="68" t="s">
        <v>32</v>
      </c>
    </row>
    <row r="133" spans="1:4" ht="16" x14ac:dyDescent="0.15">
      <c r="A133" s="75"/>
      <c r="B133" s="85">
        <v>8.1</v>
      </c>
      <c r="C133" s="85">
        <v>2.8</v>
      </c>
      <c r="D133" s="68" t="s">
        <v>32</v>
      </c>
    </row>
    <row r="134" spans="1:4" ht="16" x14ac:dyDescent="0.15">
      <c r="A134" s="72">
        <v>2016</v>
      </c>
      <c r="B134" s="85">
        <v>8.1</v>
      </c>
      <c r="C134" s="85">
        <v>2.9</v>
      </c>
      <c r="D134" s="68" t="s">
        <v>32</v>
      </c>
    </row>
    <row r="135" spans="1:4" ht="16" x14ac:dyDescent="0.15">
      <c r="A135" s="73"/>
      <c r="B135" s="85">
        <v>8.1999999999999993</v>
      </c>
      <c r="C135" s="85">
        <v>2.8</v>
      </c>
      <c r="D135" s="68" t="s">
        <v>32</v>
      </c>
    </row>
    <row r="136" spans="1:4" ht="16" x14ac:dyDescent="0.15">
      <c r="A136" s="74"/>
      <c r="B136" s="85">
        <v>8</v>
      </c>
      <c r="C136" s="85">
        <v>2.7</v>
      </c>
      <c r="D136" s="68" t="s">
        <v>32</v>
      </c>
    </row>
    <row r="137" spans="1:4" ht="16" x14ac:dyDescent="0.15">
      <c r="A137" s="75"/>
      <c r="B137" s="85">
        <v>7.9</v>
      </c>
      <c r="C137" s="85">
        <v>2.7</v>
      </c>
      <c r="D137" s="68" t="s">
        <v>32</v>
      </c>
    </row>
    <row r="138" spans="1:4" ht="16" x14ac:dyDescent="0.15">
      <c r="A138" s="72">
        <v>2017</v>
      </c>
      <c r="B138" s="85">
        <v>7.9</v>
      </c>
      <c r="C138" s="85">
        <v>2.7</v>
      </c>
      <c r="D138" s="68" t="s">
        <v>32</v>
      </c>
    </row>
    <row r="139" spans="1:4" ht="16" x14ac:dyDescent="0.15">
      <c r="A139" s="73"/>
      <c r="B139" s="85">
        <v>7.9</v>
      </c>
      <c r="C139" s="85">
        <v>2.6</v>
      </c>
      <c r="D139" s="68" t="s">
        <v>32</v>
      </c>
    </row>
    <row r="140" spans="1:4" ht="16" x14ac:dyDescent="0.15">
      <c r="A140" s="74"/>
      <c r="B140" s="85">
        <v>7.8</v>
      </c>
      <c r="C140" s="85">
        <v>2.6</v>
      </c>
      <c r="D140" s="68" t="s">
        <v>32</v>
      </c>
    </row>
    <row r="141" spans="1:4" ht="16" x14ac:dyDescent="0.15">
      <c r="A141" s="75"/>
      <c r="B141" s="85">
        <v>7.6</v>
      </c>
      <c r="C141" s="85">
        <v>2.5</v>
      </c>
      <c r="D141" s="68" t="s">
        <v>32</v>
      </c>
    </row>
    <row r="142" spans="1:4" ht="16" x14ac:dyDescent="0.15">
      <c r="A142" s="72">
        <v>2018</v>
      </c>
      <c r="B142" s="85">
        <v>7.6</v>
      </c>
      <c r="C142" s="85">
        <v>2.5</v>
      </c>
      <c r="D142" s="68" t="s">
        <v>32</v>
      </c>
    </row>
    <row r="143" spans="1:4" ht="16" x14ac:dyDescent="0.15">
      <c r="A143" s="73"/>
      <c r="B143" s="85">
        <v>7.6</v>
      </c>
      <c r="C143" s="85">
        <v>2.5</v>
      </c>
      <c r="D143" s="68" t="s">
        <v>32</v>
      </c>
    </row>
    <row r="144" spans="1:4" ht="16" x14ac:dyDescent="0.15">
      <c r="A144" s="74"/>
      <c r="B144" s="85">
        <v>7.4</v>
      </c>
      <c r="C144" s="85">
        <v>2.4</v>
      </c>
      <c r="D144" s="68" t="s">
        <v>32</v>
      </c>
    </row>
    <row r="145" spans="1:4" ht="16" x14ac:dyDescent="0.15">
      <c r="A145" s="75"/>
      <c r="B145" s="85">
        <v>7.1</v>
      </c>
      <c r="C145" s="85">
        <v>2.2999999999999998</v>
      </c>
      <c r="D145" s="68" t="s">
        <v>32</v>
      </c>
    </row>
    <row r="146" spans="1:4" ht="16" x14ac:dyDescent="0.15">
      <c r="A146" s="76">
        <v>2019</v>
      </c>
      <c r="B146" s="85">
        <v>6.9</v>
      </c>
      <c r="C146" s="85">
        <v>2.2000000000000002</v>
      </c>
      <c r="D146" s="68" t="s">
        <v>32</v>
      </c>
    </row>
    <row r="147" spans="1:4" ht="16" x14ac:dyDescent="0.15">
      <c r="A147" s="77"/>
      <c r="B147" s="85">
        <v>6.6</v>
      </c>
      <c r="C147" s="85">
        <v>2.2000000000000002</v>
      </c>
      <c r="D147" s="68" t="s">
        <v>32</v>
      </c>
    </row>
    <row r="148" spans="1:4" ht="16" x14ac:dyDescent="0.15">
      <c r="A148" s="76"/>
      <c r="B148" s="85">
        <v>6.3</v>
      </c>
      <c r="C148" s="85">
        <v>2.1</v>
      </c>
      <c r="D148" s="68" t="s">
        <v>32</v>
      </c>
    </row>
    <row r="149" spans="1:4" ht="16" x14ac:dyDescent="0.15">
      <c r="A149" s="77"/>
      <c r="B149" s="85">
        <v>6.1</v>
      </c>
      <c r="C149" s="85">
        <v>2</v>
      </c>
      <c r="D149" s="68" t="s">
        <v>32</v>
      </c>
    </row>
    <row r="150" spans="1:4" ht="16" x14ac:dyDescent="0.15">
      <c r="A150" s="72">
        <v>2020</v>
      </c>
      <c r="B150" s="85">
        <v>5.9</v>
      </c>
      <c r="C150" s="85">
        <v>1.9</v>
      </c>
      <c r="D150" s="68" t="s">
        <v>32</v>
      </c>
    </row>
    <row r="151" spans="1:4" ht="16" x14ac:dyDescent="0.15">
      <c r="A151" s="73"/>
      <c r="B151" s="86">
        <v>5.6</v>
      </c>
      <c r="C151" s="86">
        <v>1.9</v>
      </c>
      <c r="D151" s="68" t="s">
        <v>32</v>
      </c>
    </row>
    <row r="152" spans="1:4" ht="16" x14ac:dyDescent="0.15">
      <c r="A152" s="74"/>
      <c r="B152" s="87">
        <v>5.4</v>
      </c>
      <c r="C152" s="94">
        <v>1.8</v>
      </c>
      <c r="D152" s="68" t="s">
        <v>32</v>
      </c>
    </row>
    <row r="153" spans="1:4" ht="16" x14ac:dyDescent="0.15">
      <c r="A153" s="75"/>
      <c r="B153" s="87">
        <v>5.2</v>
      </c>
      <c r="C153" s="94">
        <v>1.7</v>
      </c>
      <c r="D153" s="68" t="s">
        <v>32</v>
      </c>
    </row>
    <row r="154" spans="1:4" ht="16" x14ac:dyDescent="0.15">
      <c r="A154" s="76">
        <v>2021</v>
      </c>
      <c r="B154" s="87">
        <v>4.9000000000000004</v>
      </c>
      <c r="C154" s="94">
        <v>1.7</v>
      </c>
      <c r="D154" s="68" t="s">
        <v>32</v>
      </c>
    </row>
    <row r="155" spans="1:4" ht="16" x14ac:dyDescent="0.15">
      <c r="A155" s="77"/>
      <c r="B155" s="87">
        <v>4.7</v>
      </c>
      <c r="C155" s="94">
        <v>1.6</v>
      </c>
      <c r="D155" s="68" t="s">
        <v>32</v>
      </c>
    </row>
    <row r="156" spans="1:4" ht="16" x14ac:dyDescent="0.15">
      <c r="A156" s="76"/>
      <c r="B156" s="87">
        <v>4.3</v>
      </c>
      <c r="C156" s="94">
        <v>1.6</v>
      </c>
      <c r="D156" s="68" t="s">
        <v>32</v>
      </c>
    </row>
    <row r="157" spans="1:4" ht="16" x14ac:dyDescent="0.15">
      <c r="A157" s="77"/>
      <c r="B157" s="87">
        <v>4.4000000000000004</v>
      </c>
      <c r="C157" s="94">
        <v>1.5</v>
      </c>
      <c r="D157" s="68" t="s">
        <v>32</v>
      </c>
    </row>
    <row r="158" spans="1:4" ht="16" x14ac:dyDescent="0.15">
      <c r="A158" s="78">
        <v>2022</v>
      </c>
      <c r="B158" s="87">
        <v>4.2</v>
      </c>
      <c r="C158" s="94">
        <v>1.5</v>
      </c>
      <c r="D158" s="68" t="s">
        <v>32</v>
      </c>
    </row>
    <row r="159" spans="1:4" ht="16" x14ac:dyDescent="0.15">
      <c r="A159" s="79"/>
      <c r="B159" s="87">
        <v>4.2</v>
      </c>
      <c r="C159" s="94">
        <v>1.4</v>
      </c>
      <c r="D159" s="68" t="s">
        <v>32</v>
      </c>
    </row>
    <row r="160" spans="1:4" ht="16" x14ac:dyDescent="0.15">
      <c r="A160" s="80"/>
      <c r="B160" s="87">
        <v>4</v>
      </c>
      <c r="C160" s="94">
        <v>1.3</v>
      </c>
      <c r="D160" s="68" t="s">
        <v>32</v>
      </c>
    </row>
    <row r="161" spans="1:4" ht="16" x14ac:dyDescent="0.15">
      <c r="A161" s="81"/>
      <c r="B161" s="87">
        <v>3.9</v>
      </c>
      <c r="C161" s="94">
        <v>1.3</v>
      </c>
      <c r="D161" s="68" t="s">
        <v>32</v>
      </c>
    </row>
    <row r="162" spans="1:4" ht="16" x14ac:dyDescent="0.15">
      <c r="A162" s="72">
        <v>2023</v>
      </c>
      <c r="B162" s="87">
        <v>3.8</v>
      </c>
      <c r="C162" s="94">
        <v>1.3</v>
      </c>
      <c r="D162" s="68" t="s">
        <v>32</v>
      </c>
    </row>
    <row r="163" spans="1:4" ht="16" x14ac:dyDescent="0.15">
      <c r="A163" s="73"/>
      <c r="B163" s="87">
        <v>3.7</v>
      </c>
      <c r="C163" s="94">
        <v>1.2</v>
      </c>
      <c r="D163" s="68" t="s">
        <v>32</v>
      </c>
    </row>
    <row r="164" spans="1:4" ht="16" x14ac:dyDescent="0.15">
      <c r="A164" s="74"/>
      <c r="B164" s="87">
        <v>3.7</v>
      </c>
      <c r="C164" s="94">
        <v>1.2</v>
      </c>
      <c r="D164" s="68" t="s">
        <v>32</v>
      </c>
    </row>
    <row r="165" spans="1:4" ht="16" x14ac:dyDescent="0.15">
      <c r="A165" s="75"/>
      <c r="B165" s="87">
        <v>3.6</v>
      </c>
      <c r="C165" s="94">
        <v>1.2</v>
      </c>
      <c r="D165" s="68" t="s">
        <v>32</v>
      </c>
    </row>
    <row r="166" spans="1:4" ht="16" x14ac:dyDescent="0.15">
      <c r="A166" s="72">
        <v>2024</v>
      </c>
      <c r="B166" s="87">
        <v>3.5</v>
      </c>
      <c r="C166" s="94">
        <v>1.1000000000000001</v>
      </c>
      <c r="D166" s="68" t="s">
        <v>32</v>
      </c>
    </row>
    <row r="167" spans="1:4" ht="16" x14ac:dyDescent="0.15">
      <c r="A167" s="73"/>
      <c r="B167" s="87">
        <v>3.4</v>
      </c>
      <c r="C167" s="94">
        <v>1.1000000000000001</v>
      </c>
      <c r="D167" s="68" t="s">
        <v>32</v>
      </c>
    </row>
    <row r="168" spans="1:4" ht="16" x14ac:dyDescent="0.15">
      <c r="A168" s="74"/>
      <c r="B168" s="87">
        <v>3.3</v>
      </c>
      <c r="C168" s="94">
        <v>1.1000000000000001</v>
      </c>
      <c r="D168" s="68" t="s">
        <v>32</v>
      </c>
    </row>
    <row r="169" spans="1:4" ht="16" x14ac:dyDescent="0.15">
      <c r="A169" s="75"/>
      <c r="B169" s="87">
        <v>3.2</v>
      </c>
      <c r="C169" s="94">
        <v>1</v>
      </c>
      <c r="D169" s="68" t="s">
        <v>32</v>
      </c>
    </row>
    <row r="170" spans="1:4" ht="16" x14ac:dyDescent="0.15">
      <c r="A170" s="76">
        <v>2025</v>
      </c>
      <c r="B170" s="87">
        <v>3.1</v>
      </c>
      <c r="C170" s="94">
        <v>0.99448800000000004</v>
      </c>
      <c r="D170" s="68" t="s">
        <v>32</v>
      </c>
    </row>
    <row r="171" spans="1:4" ht="16" x14ac:dyDescent="0.15">
      <c r="A171" s="77"/>
      <c r="B171" s="87">
        <v>3</v>
      </c>
      <c r="C171" s="94">
        <v>1</v>
      </c>
      <c r="D171" s="68" t="s">
        <v>32</v>
      </c>
    </row>
    <row r="172" spans="1:4" ht="16" x14ac:dyDescent="0.15">
      <c r="A172" s="76"/>
      <c r="B172" s="87">
        <v>2.9</v>
      </c>
      <c r="C172" s="94">
        <v>0.9</v>
      </c>
      <c r="D172" s="68"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B1C6FF60030546809DA2372D00398F" ma:contentTypeVersion="24" ma:contentTypeDescription="Create a new document." ma:contentTypeScope="" ma:versionID="bcf236e7ed7ae733408639c2f85067bc">
  <xsd:schema xmlns:xsd="http://www.w3.org/2001/XMLSchema" xmlns:xs="http://www.w3.org/2001/XMLSchema" xmlns:p="http://schemas.microsoft.com/office/2006/metadata/properties" xmlns:ns1="http://schemas.microsoft.com/sharepoint/v3" xmlns:ns2="41d6d728-afb5-49e6-a79f-5f3b4d7fb77b" xmlns:ns3="8e2ce8b7-93fd-47d4-b6ce-7d3e60c492c9" xmlns:ns4="2a2db8c4-56ab-4882-a5d0-0fe8165c6658" targetNamespace="http://schemas.microsoft.com/office/2006/metadata/properties" ma:root="true" ma:fieldsID="6c4b396a4a06bb1d822af875359ff34b" ns1:_="" ns2:_="" ns3:_="" ns4:_="">
    <xsd:import namespace="http://schemas.microsoft.com/sharepoint/v3"/>
    <xsd:import namespace="41d6d728-afb5-49e6-a79f-5f3b4d7fb77b"/>
    <xsd:import namespace="8e2ce8b7-93fd-47d4-b6ce-7d3e60c492c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MediaServiceEventHashCode" minOccurs="0"/>
                <xsd:element ref="ns3:MediaServiceGenerationTime" minOccurs="0"/>
                <xsd:element ref="ns3:MediaServiceDateTaken" minOccurs="0"/>
                <xsd:element ref="ns3:MediaServiceAutoTags" minOccurs="0"/>
                <xsd:element ref="ns3:MediaServiceOCR" minOccurs="0"/>
                <xsd:element ref="ns3:MediaServiceLocation" minOccurs="0"/>
                <xsd:element ref="ns3:MediaServiceAutoKeyPoints" minOccurs="0"/>
                <xsd:element ref="ns3:MediaServiceKeyPoints" minOccurs="0"/>
                <xsd:element ref="ns3:Folder_x0020_Descrip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d6d728-afb5-49e6-a79f-5f3b4d7fb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2ce8b7-93fd-47d4-b6ce-7d3e60c492c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Folder_x0020_Description" ma:index="23" nillable="true" ma:displayName="Folder/File Description" ma:description="Test" ma:format="Dropdown" ma:internalName="Folder_x0020_Description">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2c2c1190-4f17-478e-b1b2-58572ef7f49c}" ma:internalName="TaxCatchAll" ma:showField="CatchAllData" ma:web="41d6d728-afb5-49e6-a79f-5f3b4d7fb7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500C05-4954-F14E-80BA-8FD5B9399EEC}">
  <ds:schemaRefs>
    <ds:schemaRef ds:uri="http://schemas.microsoft.com/sharepoint/v3/contenttype/forms"/>
  </ds:schemaRefs>
</ds:datastoreItem>
</file>

<file path=customXml/itemProps2.xml><?xml version="1.0" encoding="utf-8"?>
<ds:datastoreItem xmlns:ds="http://schemas.openxmlformats.org/officeDocument/2006/customXml" ds:itemID="{CF1DD585-0AE2-46F1-A6D7-0FB1D9B244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d6d728-afb5-49e6-a79f-5f3b4d7fb77b"/>
    <ds:schemaRef ds:uri="8e2ce8b7-93fd-47d4-b6ce-7d3e60c492c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PortfolioSummary</vt:lpstr>
      <vt:lpstr>Annual Data</vt:lpstr>
      <vt:lpstr>Tableau Annual</vt:lpstr>
      <vt:lpstr>Clean Data</vt:lpstr>
    </vt:vector>
  </TitlesOfParts>
  <Company>U.S.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Tara.Young</dc:creator>
  <cp:lastModifiedBy>Zara Gonzalez</cp:lastModifiedBy>
  <cp:lastPrinted>2019-08-27T13:03:48Z</cp:lastPrinted>
  <dcterms:created xsi:type="dcterms:W3CDTF">2009-04-08T18:24:26Z</dcterms:created>
  <dcterms:modified xsi:type="dcterms:W3CDTF">2026-10-20T22:01:32Z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0x01010043E505894D96A34CB29442873116C740</vt:lpwstr>
  </property>
  <property fmtid="{D5CDD505-2E9C-101B-9397-08002B2CF9AE}" pid="3" name="_ip_UnifiedCompliancePolicyUIAction">
    <vt:lpwstr/>
  </property>
  <property fmtid="{D5CDD505-2E9C-101B-9397-08002B2CF9AE}" pid="4" name="_ip_UnifiedCompliancePolicyProperties">
    <vt:lpwstr/>
  </property>
  <property fmtid="{D5CDD505-2E9C-101B-9397-08002B2CF9AE}" pid="5" name="Folder Description">
    <vt:lpwstr/>
  </property>
  <property fmtid="{D5CDD505-2E9C-101B-9397-08002B2CF9AE}" pid="6" name="lcf76f155ced4ddcb4097134ff3c332f">
    <vt:lpwstr/>
  </property>
  <property fmtid="{D5CDD505-2E9C-101B-9397-08002B2CF9AE}" pid="7" name="TaxCatchAll">
    <vt:lpwstr/>
  </property>
</Properties>
</file>